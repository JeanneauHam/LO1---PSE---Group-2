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87sLaptop\Downloads\"/>
    </mc:Choice>
  </mc:AlternateContent>
  <xr:revisionPtr revIDLastSave="0" documentId="8_{CA6B660D-B75D-4957-BE0D-217F4E59578F}" xr6:coauthVersionLast="47" xr6:coauthVersionMax="47" xr10:uidLastSave="{00000000-0000-0000-0000-000000000000}"/>
  <bookViews>
    <workbookView xWindow="-108" yWindow="-108" windowWidth="23256" windowHeight="12576" xr2:uid="{328F35FA-C0DC-4133-BAE8-72562D7E66D0}"/>
  </bookViews>
  <sheets>
    <sheet name="Sheet1" sheetId="1" r:id="rId1"/>
    <sheet name="Sheet2" sheetId="2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3" i="2"/>
  <c r="AD35" i="4"/>
  <c r="AD33" i="4"/>
  <c r="AD31" i="4"/>
  <c r="AD29" i="4"/>
  <c r="AD27" i="4"/>
  <c r="AD25" i="4"/>
  <c r="AD23" i="4"/>
  <c r="AD21" i="4"/>
  <c r="AD19" i="4"/>
  <c r="AD17" i="4"/>
  <c r="AE11" i="4"/>
  <c r="AD11" i="4"/>
  <c r="AC11" i="4"/>
  <c r="AE10" i="4"/>
  <c r="AD10" i="4"/>
  <c r="AC10" i="4"/>
  <c r="AD9" i="4"/>
  <c r="AC9" i="4"/>
  <c r="AD8" i="4"/>
  <c r="AC8" i="4"/>
  <c r="AF7" i="4"/>
  <c r="AE17" i="4" s="1"/>
  <c r="AF6" i="4"/>
  <c r="AF5" i="4"/>
  <c r="AF4" i="4"/>
  <c r="L27" i="4"/>
  <c r="L25" i="4"/>
  <c r="L19" i="4"/>
  <c r="L21" i="4"/>
  <c r="L23" i="4"/>
  <c r="L29" i="4"/>
  <c r="L31" i="4"/>
  <c r="L33" i="4"/>
  <c r="L35" i="4"/>
  <c r="L37" i="4"/>
  <c r="L17" i="4"/>
  <c r="L11" i="4"/>
  <c r="K11" i="4"/>
  <c r="L10" i="4"/>
  <c r="K10" i="4"/>
  <c r="L9" i="4"/>
  <c r="K9" i="4"/>
  <c r="L8" i="4"/>
  <c r="K8" i="4"/>
  <c r="N7" i="4"/>
  <c r="M17" i="4" s="1"/>
  <c r="N6" i="4"/>
  <c r="N5" i="4"/>
  <c r="N4" i="4"/>
  <c r="M11" i="4"/>
  <c r="M10" i="4"/>
  <c r="F11" i="4"/>
  <c r="G11" i="4" s="1"/>
  <c r="F10" i="4"/>
  <c r="G10" i="4" s="1"/>
  <c r="G9" i="4"/>
  <c r="G8" i="4"/>
  <c r="G7" i="4"/>
  <c r="G6" i="4"/>
  <c r="G5" i="4"/>
  <c r="G4" i="4"/>
  <c r="D49" i="1"/>
  <c r="D43" i="1"/>
  <c r="C52" i="1"/>
  <c r="D52" i="1" s="1"/>
  <c r="AD40" i="1" s="1"/>
  <c r="B52" i="1"/>
  <c r="B53" i="1"/>
  <c r="B54" i="1"/>
  <c r="B55" i="1"/>
  <c r="G22" i="2"/>
  <c r="H22" i="2" s="1"/>
  <c r="I22" i="2" s="1"/>
  <c r="B29" i="1"/>
  <c r="D29" i="1" s="1"/>
  <c r="AD4" i="1" s="1"/>
  <c r="B33" i="1"/>
  <c r="D33" i="1" s="1"/>
  <c r="B32" i="1"/>
  <c r="B31" i="1"/>
  <c r="D31" i="1" s="1"/>
  <c r="B30" i="1"/>
  <c r="C33" i="1"/>
  <c r="F22" i="2"/>
  <c r="E22" i="2"/>
  <c r="G7" i="2"/>
  <c r="I19" i="2"/>
  <c r="H19" i="2"/>
  <c r="G19" i="2"/>
  <c r="F19" i="2"/>
  <c r="E19" i="2"/>
  <c r="D26" i="1"/>
  <c r="F11" i="1"/>
  <c r="G11" i="1" s="1"/>
  <c r="F10" i="1"/>
  <c r="G10" i="1" s="1"/>
  <c r="C55" i="1" s="1"/>
  <c r="D55" i="1" s="1"/>
  <c r="G9" i="1"/>
  <c r="C54" i="1" s="1"/>
  <c r="D54" i="1" s="1"/>
  <c r="G8" i="1"/>
  <c r="G7" i="1"/>
  <c r="C32" i="1" s="1"/>
  <c r="G6" i="1"/>
  <c r="C31" i="1" s="1"/>
  <c r="G5" i="1"/>
  <c r="C29" i="1" s="1"/>
  <c r="G4" i="1"/>
  <c r="G4" i="2"/>
  <c r="G3" i="2"/>
  <c r="E13" i="2"/>
  <c r="F13" i="2"/>
  <c r="D13" i="2"/>
  <c r="D15" i="2"/>
  <c r="G5" i="2"/>
  <c r="G6" i="2"/>
  <c r="G8" i="2"/>
  <c r="F9" i="2"/>
  <c r="G15" i="2" s="1"/>
  <c r="G9" i="2"/>
  <c r="F10" i="2"/>
  <c r="G10" i="2"/>
  <c r="M19" i="4" l="1"/>
  <c r="AE21" i="4"/>
  <c r="AF21" i="4" s="1"/>
  <c r="M21" i="4"/>
  <c r="N21" i="4" s="1"/>
  <c r="AF17" i="4"/>
  <c r="AG18" i="4" s="1"/>
  <c r="N17" i="4"/>
  <c r="O18" i="4" s="1"/>
  <c r="AE19" i="4"/>
  <c r="AF19" i="4"/>
  <c r="AF10" i="4"/>
  <c r="AE33" i="4" s="1"/>
  <c r="AF33" i="4" s="1"/>
  <c r="AF11" i="4"/>
  <c r="AE35" i="4" s="1"/>
  <c r="AF35" i="4" s="1"/>
  <c r="AF8" i="4"/>
  <c r="AF9" i="4"/>
  <c r="AE31" i="4" s="1"/>
  <c r="N19" i="4"/>
  <c r="N8" i="4"/>
  <c r="N9" i="4"/>
  <c r="N10" i="4"/>
  <c r="N11" i="4"/>
  <c r="M37" i="4" s="1"/>
  <c r="N37" i="4" s="1"/>
  <c r="D32" i="1"/>
  <c r="C53" i="1"/>
  <c r="D53" i="1" s="1"/>
  <c r="AD41" i="1" s="1"/>
  <c r="AD42" i="1" s="1"/>
  <c r="AD43" i="1" s="1"/>
  <c r="C30" i="1"/>
  <c r="D30" i="1" s="1"/>
  <c r="AD5" i="1" s="1"/>
  <c r="AD6" i="1" s="1"/>
  <c r="AD7" i="1" s="1"/>
  <c r="AD8" i="1" s="1"/>
  <c r="E15" i="2"/>
  <c r="F15" i="2"/>
  <c r="M27" i="4" l="1"/>
  <c r="N27" i="4" s="1"/>
  <c r="M25" i="4"/>
  <c r="AG20" i="4"/>
  <c r="AG22" i="4" s="1"/>
  <c r="AE29" i="4"/>
  <c r="AE27" i="4"/>
  <c r="AF27" i="4" s="1"/>
  <c r="M31" i="4"/>
  <c r="N31" i="4" s="1"/>
  <c r="M29" i="4"/>
  <c r="N29" i="4" s="1"/>
  <c r="M35" i="4"/>
  <c r="N35" i="4" s="1"/>
  <c r="M33" i="4"/>
  <c r="N33" i="4" s="1"/>
  <c r="AF29" i="4"/>
  <c r="AE25" i="4"/>
  <c r="AF25" i="4" s="1"/>
  <c r="AE23" i="4"/>
  <c r="AF23" i="4" s="1"/>
  <c r="O20" i="4"/>
  <c r="O22" i="4" s="1"/>
  <c r="AF31" i="4"/>
  <c r="M23" i="4"/>
  <c r="N23" i="4" s="1"/>
  <c r="N25" i="4"/>
  <c r="AG24" i="4" l="1"/>
  <c r="AG26" i="4" s="1"/>
  <c r="AG28" i="4" s="1"/>
  <c r="AG30" i="4" s="1"/>
  <c r="AG32" i="4" s="1"/>
  <c r="AG34" i="4" s="1"/>
  <c r="AG36" i="4" s="1"/>
  <c r="O24" i="4"/>
  <c r="O26" i="4" s="1"/>
  <c r="O28" i="4" s="1"/>
  <c r="AH16" i="4" l="1"/>
  <c r="O30" i="4"/>
  <c r="O32" i="4" s="1"/>
  <c r="O34" i="4" s="1"/>
  <c r="O36" i="4" s="1"/>
  <c r="O38" i="4" s="1"/>
  <c r="P16" i="4"/>
  <c r="P18" i="4" l="1"/>
  <c r="P20" i="4" s="1"/>
  <c r="P22" i="4" s="1"/>
  <c r="P24" i="4" s="1"/>
  <c r="P26" i="4" s="1"/>
  <c r="P28" i="4" s="1"/>
  <c r="P30" i="4" s="1"/>
  <c r="P32" i="4" s="1"/>
  <c r="P34" i="4" s="1"/>
  <c r="P36" i="4" s="1"/>
  <c r="P38" i="4" s="1"/>
  <c r="D16" i="4" s="1"/>
  <c r="D15" i="4"/>
  <c r="D19" i="4"/>
  <c r="AH18" i="4"/>
  <c r="AH20" i="4" s="1"/>
  <c r="AH22" i="4" s="1"/>
  <c r="AH24" i="4" s="1"/>
  <c r="AH26" i="4" s="1"/>
  <c r="AH28" i="4" l="1"/>
  <c r="AH30" i="4" s="1"/>
  <c r="AH32" i="4" s="1"/>
  <c r="AH34" i="4" s="1"/>
  <c r="AH36" i="4" s="1"/>
  <c r="D2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 den Haan</author>
  </authors>
  <commentList>
    <comment ref="AD3" authorId="0" shapeId="0" xr:uid="{1FD85519-0FE0-40DF-8777-44159B59DEB6}">
      <text>
        <r>
          <rPr>
            <b/>
            <sz val="9"/>
            <color indexed="81"/>
            <rFont val="Tahoma"/>
            <family val="2"/>
          </rPr>
          <t>Kay den Haan:</t>
        </r>
        <r>
          <rPr>
            <sz val="9"/>
            <color indexed="81"/>
            <rFont val="Tahoma"/>
            <family val="2"/>
          </rPr>
          <t xml:space="preserve">
I started at 1000 kW. I did this because otherwise the curve would mix in the diagram. I also did this with each curve for the heaters.</t>
        </r>
      </text>
    </comment>
    <comment ref="D19" authorId="0" shapeId="0" xr:uid="{04466716-19AD-48E9-9C00-140899E70DDE}">
      <text>
        <r>
          <rPr>
            <b/>
            <sz val="9"/>
            <color indexed="81"/>
            <rFont val="Tahoma"/>
            <family val="2"/>
          </rPr>
          <t>Kay den Haan: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tc={C8C36D7F-FC1C-4BD6-A03B-2623626B8426}</author>
    <author>tc={75B9E000-C392-4418-A696-6F632F58D6D4}</author>
    <author>tc={CCE59064-E81A-4B4A-8DE0-509E0F6C79A9}</author>
    <author>tc={7DC721AC-D66C-4309-ACA0-792A2D939260}</author>
    <author>tc={461CD2FF-D7B7-442C-A590-13CF35EBA010}</author>
    <author>tc={4310CC2B-9752-47A9-B09E-3490C10B83C2}</author>
  </authors>
  <commentList>
    <comment ref="P15" authorId="0" shapeId="0" xr:uid="{C8C36D7F-FC1C-4BD6-A03B-2623626B842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Biggest negative value, otherwise 0.Adjusted residual heat(sigma delta H*) is adding up the interval enthalpies
</t>
      </text>
    </comment>
    <comment ref="AH15" authorId="1" shapeId="0" xr:uid="{75B9E000-C392-4418-A696-6F632F58D6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Biggest negative value, otherwise 0.Adjusted residual heat(sigma delta H*) is adding up the interval enthalpies
</t>
      </text>
    </comment>
    <comment ref="P16" authorId="2" shapeId="0" xr:uid="{CCE59064-E81A-4B4A-8DE0-509E0F6C79A9}">
      <text>
        <t>[Threaded comment]
Your version of Excel allows you to read this threaded comment; however, any edits to it will get removed if the file is opened in a newer version of Excel. Learn more: https://go.microsoft.com/fwlink/?linkid=870924
Comment:
    Heating requirement
Reply:
    The most negative number tells us what the required amount of additional hot utility.</t>
      </text>
    </comment>
    <comment ref="AH16" authorId="3" shapeId="0" xr:uid="{7DC721AC-D66C-4309-ACA0-792A2D93926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Heating requirement
</t>
      </text>
    </comment>
    <comment ref="AH36" authorId="4" shapeId="0" xr:uid="{461CD2FF-D7B7-442C-A590-13CF35EBA010}">
      <text>
        <t>[Threaded comment]
Your version of Excel allows you to read this threaded comment; however, any edits to it will get removed if the file is opened in a newer version of Excel. Learn more: https://go.microsoft.com/fwlink/?linkid=870924
Comment:
    Cooling requirement</t>
      </text>
    </comment>
    <comment ref="P38" authorId="5" shapeId="0" xr:uid="{4310CC2B-9752-47A9-B09E-3490C10B83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Cooling requirement</t>
      </text>
    </comment>
  </commentList>
</comments>
</file>

<file path=xl/sharedStrings.xml><?xml version="1.0" encoding="utf-8"?>
<sst xmlns="http://schemas.openxmlformats.org/spreadsheetml/2006/main" count="231" uniqueCount="90">
  <si>
    <t>Stream name</t>
  </si>
  <si>
    <t>Type</t>
  </si>
  <si>
    <t>CP(kW/k)</t>
  </si>
  <si>
    <t>Mash converter Heating</t>
  </si>
  <si>
    <t>Heater 2</t>
  </si>
  <si>
    <t xml:space="preserve">Heater 3 </t>
  </si>
  <si>
    <t>Lauter tun heating</t>
  </si>
  <si>
    <t>Cooler 1</t>
  </si>
  <si>
    <t>Wort cooler cooling</t>
  </si>
  <si>
    <t>Heater 4</t>
  </si>
  <si>
    <t>Wort kettle heating</t>
  </si>
  <si>
    <t xml:space="preserve">Cooler 2 </t>
  </si>
  <si>
    <t>Cooler 3</t>
  </si>
  <si>
    <t>Fermentation tank cooling</t>
  </si>
  <si>
    <t>Treatment propylene glycol</t>
  </si>
  <si>
    <t>Treatment 2 propylene glycol</t>
  </si>
  <si>
    <r>
      <t>T</t>
    </r>
    <r>
      <rPr>
        <vertAlign val="subscript"/>
        <sz val="11"/>
        <color theme="1"/>
        <rFont val="Aptos Narrow"/>
        <family val="2"/>
        <scheme val="minor"/>
      </rPr>
      <t>out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</si>
  <si>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in</t>
    </r>
  </si>
  <si>
    <r>
      <rPr>
        <sz val="11"/>
        <color theme="1"/>
        <rFont val="Aptos Narrow"/>
        <family val="2"/>
      </rPr>
      <t>∆</t>
    </r>
    <r>
      <rPr>
        <sz val="11"/>
        <color theme="1"/>
        <rFont val="Aptos Narrow"/>
        <family val="2"/>
        <scheme val="minor"/>
      </rPr>
      <t>H(kW)</t>
    </r>
  </si>
  <si>
    <t>Cooler 4</t>
  </si>
  <si>
    <t>T</t>
  </si>
  <si>
    <t>∆H(Begin hot)</t>
  </si>
  <si>
    <t>∆H(begin cold)</t>
  </si>
  <si>
    <t>Heater 1</t>
  </si>
  <si>
    <t>Rice Cooker</t>
  </si>
  <si>
    <t>Attempt 1</t>
  </si>
  <si>
    <t>Attempt 2</t>
  </si>
  <si>
    <t>Data</t>
  </si>
  <si>
    <t>Temperature Discription</t>
  </si>
  <si>
    <t>∆H of step</t>
  </si>
  <si>
    <t>Temperature Point</t>
  </si>
  <si>
    <t>Composite Heater 1 &amp; 3</t>
  </si>
  <si>
    <t>Composite Heater 1 &amp; 4</t>
  </si>
  <si>
    <t>End Temperature</t>
  </si>
  <si>
    <t>Temperature of point</t>
  </si>
  <si>
    <t>Hot Stream</t>
  </si>
  <si>
    <t>Cold Stream</t>
  </si>
  <si>
    <t>Composite Heater 2 &amp; 1</t>
  </si>
  <si>
    <t>Cooler 2</t>
  </si>
  <si>
    <t>Composite Cooler 1 &amp; 2</t>
  </si>
  <si>
    <t>Beginning of graph</t>
  </si>
  <si>
    <t>Delta H interval</t>
  </si>
  <si>
    <t>Begin</t>
  </si>
  <si>
    <t>CP interval</t>
  </si>
  <si>
    <t>Delta T</t>
  </si>
  <si>
    <t>Traject</t>
  </si>
  <si>
    <r>
      <t>∆H</t>
    </r>
    <r>
      <rPr>
        <vertAlign val="subscript"/>
        <sz val="11"/>
        <color theme="1"/>
        <rFont val="Aptos Narrow"/>
        <family val="2"/>
        <scheme val="minor"/>
      </rPr>
      <t>begin</t>
    </r>
  </si>
  <si>
    <t>T(in °C)</t>
  </si>
  <si>
    <t>Hot stream</t>
  </si>
  <si>
    <t>Cold stream</t>
  </si>
  <si>
    <t>63_73</t>
  </si>
  <si>
    <t>73_78</t>
  </si>
  <si>
    <t>78_90</t>
  </si>
  <si>
    <t>90_93</t>
  </si>
  <si>
    <t>93_100</t>
  </si>
  <si>
    <t>98_14</t>
  </si>
  <si>
    <t>7_-2</t>
  </si>
  <si>
    <t>14_13</t>
  </si>
  <si>
    <t>13_7</t>
  </si>
  <si>
    <t>End</t>
  </si>
  <si>
    <r>
      <t>T</t>
    </r>
    <r>
      <rPr>
        <vertAlign val="subscript"/>
        <sz val="11"/>
        <color theme="1"/>
        <rFont val="Aptos Narrow"/>
        <family val="2"/>
        <scheme val="minor"/>
      </rPr>
      <t>out</t>
    </r>
    <r>
      <rPr>
        <sz val="11"/>
        <color theme="1"/>
        <rFont val="Aptos Narrow"/>
        <family val="2"/>
        <scheme val="minor"/>
      </rPr>
      <t xml:space="preserve"> (°C)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</si>
  <si>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in</t>
    </r>
    <r>
      <rPr>
        <sz val="11"/>
        <color theme="1"/>
        <rFont val="Aptos Narrow"/>
        <family val="2"/>
        <scheme val="minor"/>
      </rPr>
      <t xml:space="preserve"> (°C)</t>
    </r>
  </si>
  <si>
    <t>T (°C)</t>
  </si>
  <si>
    <r>
      <t>∆T</t>
    </r>
    <r>
      <rPr>
        <vertAlign val="subscript"/>
        <sz val="11"/>
        <color theme="1"/>
        <rFont val="Aptos Narrow"/>
        <family val="2"/>
        <scheme val="minor"/>
      </rPr>
      <t>min</t>
    </r>
    <r>
      <rPr>
        <sz val="11"/>
        <color theme="1"/>
        <rFont val="Aptos Narrow"/>
        <family val="2"/>
        <scheme val="minor"/>
      </rPr>
      <t>(°C)</t>
    </r>
  </si>
  <si>
    <t>Adjusted temperature interval table</t>
  </si>
  <si>
    <t>Cold stream 1</t>
  </si>
  <si>
    <t>Cold stream 2</t>
  </si>
  <si>
    <t>Cold stream 3</t>
  </si>
  <si>
    <t>Cold stream 4</t>
  </si>
  <si>
    <t>Hot stream 1</t>
  </si>
  <si>
    <t>Hot stream 2</t>
  </si>
  <si>
    <t>Hot stream 3</t>
  </si>
  <si>
    <t>Hot stream 4</t>
  </si>
  <si>
    <t>#</t>
  </si>
  <si>
    <t>Ti-1(°C)</t>
  </si>
  <si>
    <t>∆T(°C)</t>
  </si>
  <si>
    <r>
      <t>∆Cp(MW*K^-1) = Cp</t>
    </r>
    <r>
      <rPr>
        <vertAlign val="subscript"/>
        <sz val="11"/>
        <color theme="1"/>
        <rFont val="Aptos Narrow"/>
        <family val="2"/>
        <scheme val="minor"/>
      </rPr>
      <t>hot</t>
    </r>
    <r>
      <rPr>
        <sz val="11"/>
        <color theme="1"/>
        <rFont val="Aptos Narrow"/>
        <family val="2"/>
        <scheme val="minor"/>
      </rPr>
      <t xml:space="preserve"> -Cp</t>
    </r>
    <r>
      <rPr>
        <vertAlign val="subscript"/>
        <sz val="11"/>
        <color theme="1"/>
        <rFont val="Aptos Narrow"/>
        <family val="2"/>
        <scheme val="minor"/>
      </rPr>
      <t xml:space="preserve">cold 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</si>
  <si>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</si>
  <si>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t>*rounded numbers for CP</t>
  </si>
  <si>
    <t>∆H(kW)</t>
  </si>
  <si>
    <t>Σ∆H(kW)</t>
  </si>
  <si>
    <t>Σ∆H*(kW)</t>
  </si>
  <si>
    <t>Cooling requirement (kW)</t>
  </si>
  <si>
    <t>Heating requirement (kW)</t>
  </si>
  <si>
    <t>∆T= 10(°C)</t>
  </si>
  <si>
    <t>∆T= 20(°C)</t>
  </si>
  <si>
    <t>Heating requirement(kW)</t>
  </si>
  <si>
    <t>Cooling requirement(kW)</t>
  </si>
  <si>
    <t>CP(W/K)</t>
  </si>
  <si>
    <t>∆CP(kW*K^-1)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</si>
</sst>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dashed">
        <color indexed="64"/>
      </right>
      <top style="thin">
        <color indexed="64"/>
      </top>
      <bottom/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7" borderId="0" xfId="0" applyFill="1"/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6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1" xfId="0" applyFill="1" applyBorder="1"/>
    <xf numFmtId="0" fontId="0" fillId="3" borderId="10" xfId="0" applyFill="1" applyBorder="1"/>
    <xf numFmtId="2" fontId="0" fillId="0" borderId="0" xfId="0" applyNumberFormat="1"/>
    <xf numFmtId="0" fontId="0" fillId="2" borderId="11" xfId="0" applyFill="1" applyBorder="1"/>
    <xf numFmtId="0" fontId="0" fillId="2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8" borderId="8" xfId="0" applyFill="1" applyBorder="1"/>
    <xf numFmtId="0" fontId="0" fillId="8" borderId="9" xfId="0" applyFill="1" applyBorder="1"/>
    <xf numFmtId="0" fontId="0" fillId="7" borderId="9" xfId="0" applyFill="1" applyBorder="1"/>
    <xf numFmtId="0" fontId="0" fillId="7" borderId="6" xfId="0" applyFill="1" applyBorder="1"/>
    <xf numFmtId="0" fontId="0" fillId="8" borderId="0" xfId="0" applyFill="1"/>
    <xf numFmtId="0" fontId="0" fillId="8" borderId="6" xfId="0" applyFill="1" applyBorder="1"/>
    <xf numFmtId="0" fontId="0" fillId="8" borderId="16" xfId="0" applyFill="1" applyBorder="1" applyAlignment="1">
      <alignment horizontal="center" vertical="center" wrapText="1"/>
    </xf>
    <xf numFmtId="0" fontId="0" fillId="8" borderId="17" xfId="0" applyFill="1" applyBorder="1" applyAlignment="1">
      <alignment horizontal="center" vertical="center" wrapText="1"/>
    </xf>
    <xf numFmtId="0" fontId="0" fillId="8" borderId="6" xfId="0" applyFill="1" applyBorder="1" applyAlignment="1">
      <alignment horizontal="center" vertical="center" wrapText="1"/>
    </xf>
    <xf numFmtId="0" fontId="0" fillId="5" borderId="18" xfId="0" applyFill="1" applyBorder="1" applyAlignment="1">
      <alignment vertical="center"/>
    </xf>
    <xf numFmtId="0" fontId="0" fillId="5" borderId="19" xfId="0" applyFill="1" applyBorder="1"/>
    <xf numFmtId="0" fontId="0" fillId="6" borderId="10" xfId="0" applyFill="1" applyBorder="1" applyAlignment="1">
      <alignment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0" fontId="0" fillId="5" borderId="6" xfId="0" applyFill="1" applyBorder="1" applyAlignment="1">
      <alignment vertical="center"/>
    </xf>
    <xf numFmtId="0" fontId="0" fillId="5" borderId="6" xfId="0" applyFill="1" applyBorder="1"/>
    <xf numFmtId="1" fontId="0" fillId="0" borderId="0" xfId="0" applyNumberFormat="1"/>
    <xf numFmtId="1" fontId="0" fillId="9" borderId="0" xfId="0" applyNumberFormat="1" applyFill="1"/>
    <xf numFmtId="1" fontId="0" fillId="3" borderId="0" xfId="0" applyNumberFormat="1" applyFill="1"/>
    <xf numFmtId="1" fontId="0" fillId="10" borderId="0" xfId="0" applyNumberFormat="1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3" borderId="18" xfId="0" applyFill="1" applyBorder="1"/>
    <xf numFmtId="1" fontId="0" fillId="14" borderId="1" xfId="0" applyNumberFormat="1" applyFill="1" applyBorder="1"/>
    <xf numFmtId="0" fontId="0" fillId="14" borderId="1" xfId="0" applyFill="1" applyBorder="1"/>
    <xf numFmtId="0" fontId="0" fillId="12" borderId="1" xfId="0" applyFill="1" applyBorder="1"/>
    <xf numFmtId="0" fontId="0" fillId="4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16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6" borderId="10" xfId="0" applyFill="1" applyBorder="1" applyAlignment="1">
      <alignment horizontal="center" vertical="center" wrapText="1"/>
    </xf>
    <xf numFmtId="0" fontId="0" fillId="6" borderId="18" xfId="0" applyFill="1" applyBorder="1" applyAlignment="1">
      <alignment horizontal="center" vertical="center" wrapText="1"/>
    </xf>
    <xf numFmtId="0" fontId="0" fillId="6" borderId="19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Cold</a:t>
            </a:r>
            <a:r>
              <a:rPr lang="en-GB" baseline="0"/>
              <a:t> streams heated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Heater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Sheet1!$D$16:$D$17</c:f>
              <c:numCache>
                <c:formatCode>0</c:formatCode>
                <c:ptCount val="2"/>
                <c:pt idx="0">
                  <c:v>0</c:v>
                </c:pt>
                <c:pt idx="1">
                  <c:v>324.8</c:v>
                </c:pt>
              </c:numCache>
            </c:numRef>
          </c:xVal>
          <c:yVal>
            <c:numRef>
              <c:f>Sheet1!$E$16:$E$17</c:f>
              <c:numCache>
                <c:formatCode>0</c:formatCode>
                <c:ptCount val="2"/>
                <c:pt idx="0">
                  <c:v>73</c:v>
                </c:pt>
                <c:pt idx="1">
                  <c:v>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27-4D6C-9DB8-B91EA282CA18}"/>
            </c:ext>
          </c:extLst>
        </c:ser>
        <c:ser>
          <c:idx val="1"/>
          <c:order val="1"/>
          <c:tx>
            <c:v>Heater 2</c:v>
          </c:tx>
          <c:spPr>
            <a:ln w="19050" cap="rnd">
              <a:solidFill>
                <a:schemeClr val="accent2"/>
              </a:solidFill>
              <a:round/>
              <a:headEnd type="none"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Sheet1!$D$19:$D$20</c:f>
              <c:numCache>
                <c:formatCode>0</c:formatCode>
                <c:ptCount val="2"/>
                <c:pt idx="0">
                  <c:v>100</c:v>
                </c:pt>
                <c:pt idx="1">
                  <c:v>3404</c:v>
                </c:pt>
              </c:numCache>
            </c:numRef>
          </c:xVal>
          <c:yVal>
            <c:numRef>
              <c:f>Sheet1!$E$19:$E$20</c:f>
              <c:numCache>
                <c:formatCode>0</c:formatCode>
                <c:ptCount val="2"/>
                <c:pt idx="0">
                  <c:v>63</c:v>
                </c:pt>
                <c:pt idx="1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27-4D6C-9DB8-B91EA282CA18}"/>
            </c:ext>
          </c:extLst>
        </c:ser>
        <c:ser>
          <c:idx val="2"/>
          <c:order val="2"/>
          <c:tx>
            <c:v>Heater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Sheet1!$D$22:$D$23</c:f>
              <c:numCache>
                <c:formatCode>0</c:formatCode>
                <c:ptCount val="2"/>
                <c:pt idx="0">
                  <c:v>200</c:v>
                </c:pt>
                <c:pt idx="1">
                  <c:v>948.8</c:v>
                </c:pt>
              </c:numCache>
            </c:numRef>
          </c:xVal>
          <c:yVal>
            <c:numRef>
              <c:f>Sheet1!$E$22:$E$23</c:f>
              <c:numCache>
                <c:formatCode>0</c:formatCode>
                <c:ptCount val="2"/>
                <c:pt idx="0">
                  <c:v>78</c:v>
                </c:pt>
                <c:pt idx="1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27-4D6C-9DB8-B91EA282CA18}"/>
            </c:ext>
          </c:extLst>
        </c:ser>
        <c:ser>
          <c:idx val="3"/>
          <c:order val="3"/>
          <c:tx>
            <c:v>Heater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Sheet1!$D$25:$D$26</c:f>
              <c:numCache>
                <c:formatCode>0</c:formatCode>
                <c:ptCount val="2"/>
                <c:pt idx="0">
                  <c:v>300</c:v>
                </c:pt>
                <c:pt idx="1">
                  <c:v>6023.2</c:v>
                </c:pt>
              </c:numCache>
            </c:numRef>
          </c:xVal>
          <c:yVal>
            <c:numRef>
              <c:f>Sheet1!$E$25:$E$26</c:f>
              <c:numCache>
                <c:formatCode>0</c:formatCode>
                <c:ptCount val="2"/>
                <c:pt idx="0">
                  <c:v>90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27-4D6C-9DB8-B91EA282CA18}"/>
            </c:ext>
          </c:extLst>
        </c:ser>
        <c:ser>
          <c:idx val="4"/>
          <c:order val="4"/>
          <c:tx>
            <c:v>Composite curve</c:v>
          </c:tx>
          <c:spPr>
            <a:ln w="19050" cap="rnd">
              <a:solidFill>
                <a:schemeClr val="accent5"/>
              </a:solidFill>
              <a:round/>
              <a:headEnd type="none" w="lg" len="lg"/>
              <a:tailEnd type="triangle" w="lg" len="lg"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Sheet1!$AD$3:$AD$8</c:f>
              <c:numCache>
                <c:formatCode>0</c:formatCode>
                <c:ptCount val="6"/>
                <c:pt idx="0">
                  <c:v>1000</c:v>
                </c:pt>
                <c:pt idx="1">
                  <c:v>3202.666666666667</c:v>
                </c:pt>
                <c:pt idx="2">
                  <c:v>4385.2000000000007</c:v>
                </c:pt>
                <c:pt idx="3">
                  <c:v>5328.880000000001</c:v>
                </c:pt>
                <c:pt idx="4">
                  <c:v>7094.5600000000013</c:v>
                </c:pt>
                <c:pt idx="5">
                  <c:v>11100.800000000001</c:v>
                </c:pt>
              </c:numCache>
            </c:numRef>
          </c:xVal>
          <c:yVal>
            <c:numRef>
              <c:f>Sheet1!$AC$3:$AC$8</c:f>
              <c:numCache>
                <c:formatCode>0</c:formatCode>
                <c:ptCount val="6"/>
                <c:pt idx="0">
                  <c:v>63</c:v>
                </c:pt>
                <c:pt idx="1">
                  <c:v>73</c:v>
                </c:pt>
                <c:pt idx="2">
                  <c:v>78</c:v>
                </c:pt>
                <c:pt idx="3">
                  <c:v>90</c:v>
                </c:pt>
                <c:pt idx="4">
                  <c:v>93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67-4FBD-8CBE-F0A247BE3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5564639"/>
        <c:axId val="1885560799"/>
      </c:scatterChart>
      <c:valAx>
        <c:axId val="188556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∆H(kW)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85560799"/>
        <c:crosses val="autoZero"/>
        <c:crossBetween val="midCat"/>
      </c:valAx>
      <c:valAx>
        <c:axId val="188556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baseline="0">
                    <a:effectLst/>
                  </a:rPr>
                  <a:t>T (°C)</a:t>
                </a:r>
                <a:r>
                  <a:rPr lang="en-NL" sz="1000" b="0" i="0" u="none" strike="noStrike" baseline="0">
                    <a:effectLst/>
                  </a:rPr>
                  <a:t> 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85564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Hot</a:t>
            </a:r>
            <a:r>
              <a:rPr lang="en-GB" baseline="0"/>
              <a:t> streams cooled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Cooler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Sheet1!$D$39:$D$40</c:f>
              <c:numCache>
                <c:formatCode>0</c:formatCode>
                <c:ptCount val="2"/>
                <c:pt idx="0">
                  <c:v>0</c:v>
                </c:pt>
                <c:pt idx="1">
                  <c:v>-6142.4</c:v>
                </c:pt>
              </c:numCache>
            </c:numRef>
          </c:xVal>
          <c:yVal>
            <c:numRef>
              <c:f>Sheet1!$E$39:$E$40</c:f>
              <c:numCache>
                <c:formatCode>0</c:formatCode>
                <c:ptCount val="2"/>
                <c:pt idx="0">
                  <c:v>98</c:v>
                </c:pt>
                <c:pt idx="1">
                  <c:v>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86-4600-8649-32BEEAEA3423}"/>
            </c:ext>
          </c:extLst>
        </c:ser>
        <c:ser>
          <c:idx val="1"/>
          <c:order val="1"/>
          <c:tx>
            <c:v>Cooler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Sheet1!$D$42:$D$43</c:f>
              <c:numCache>
                <c:formatCode>0</c:formatCode>
                <c:ptCount val="2"/>
                <c:pt idx="0">
                  <c:v>100</c:v>
                </c:pt>
                <c:pt idx="1">
                  <c:v>48.8</c:v>
                </c:pt>
              </c:numCache>
            </c:numRef>
          </c:xVal>
          <c:yVal>
            <c:numRef>
              <c:f>Sheet1!$E$42:$E$43</c:f>
              <c:numCache>
                <c:formatCode>0</c:formatCode>
                <c:ptCount val="2"/>
                <c:pt idx="0">
                  <c:v>14</c:v>
                </c:pt>
                <c:pt idx="1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786-4600-8649-32BEEAEA3423}"/>
            </c:ext>
          </c:extLst>
        </c:ser>
        <c:ser>
          <c:idx val="2"/>
          <c:order val="2"/>
          <c:tx>
            <c:v>Cooler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Sheet1!$D$45:$D$46</c:f>
              <c:numCache>
                <c:formatCode>0</c:formatCode>
                <c:ptCount val="2"/>
                <c:pt idx="0">
                  <c:v>200</c:v>
                </c:pt>
                <c:pt idx="1">
                  <c:v>-222.4</c:v>
                </c:pt>
              </c:numCache>
            </c:numRef>
          </c:xVal>
          <c:yVal>
            <c:numRef>
              <c:f>Sheet1!$E$45:$E$46</c:f>
              <c:numCache>
                <c:formatCode>0</c:formatCode>
                <c:ptCount val="2"/>
                <c:pt idx="0">
                  <c:v>7</c:v>
                </c:pt>
                <c:pt idx="1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786-4600-8649-32BEEAEA3423}"/>
            </c:ext>
          </c:extLst>
        </c:ser>
        <c:ser>
          <c:idx val="3"/>
          <c:order val="3"/>
          <c:tx>
            <c:v>Cooler 4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Sheet1!$D$48:$D$49</c:f>
              <c:numCache>
                <c:formatCode>0</c:formatCode>
                <c:ptCount val="2"/>
                <c:pt idx="0">
                  <c:v>400</c:v>
                </c:pt>
                <c:pt idx="1">
                  <c:v>347.2</c:v>
                </c:pt>
              </c:numCache>
            </c:numRef>
          </c:xVal>
          <c:yVal>
            <c:numRef>
              <c:f>Sheet1!$E$48:$E$49</c:f>
              <c:numCache>
                <c:formatCode>0</c:formatCode>
                <c:ptCount val="2"/>
                <c:pt idx="0">
                  <c:v>-1</c:v>
                </c:pt>
                <c:pt idx="1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786-4600-8649-32BEEAEA3423}"/>
            </c:ext>
          </c:extLst>
        </c:ser>
        <c:ser>
          <c:idx val="4"/>
          <c:order val="4"/>
          <c:tx>
            <c:v>Hot stream cooling</c:v>
          </c:tx>
          <c:spPr>
            <a:ln w="19050" cap="rnd">
              <a:solidFill>
                <a:schemeClr val="accent5"/>
              </a:solidFill>
              <a:round/>
              <a:headEnd type="none" w="lg" len="lg"/>
              <a:tailEnd type="triangle" w="lg" len="lg"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Sheet1!$AD$39:$AD$43</c:f>
              <c:numCache>
                <c:formatCode>0</c:formatCode>
                <c:ptCount val="5"/>
                <c:pt idx="0">
                  <c:v>1000</c:v>
                </c:pt>
                <c:pt idx="1">
                  <c:v>-5070.1364705882352</c:v>
                </c:pt>
                <c:pt idx="2">
                  <c:v>-5149.7142857142853</c:v>
                </c:pt>
                <c:pt idx="3">
                  <c:v>-5193.5999999999995</c:v>
                </c:pt>
                <c:pt idx="4">
                  <c:v>-5668.7999999999993</c:v>
                </c:pt>
              </c:numCache>
            </c:numRef>
          </c:xVal>
          <c:yVal>
            <c:numRef>
              <c:f>Sheet1!$AC$39:$AC$43</c:f>
              <c:numCache>
                <c:formatCode>0</c:formatCode>
                <c:ptCount val="5"/>
                <c:pt idx="0">
                  <c:v>98</c:v>
                </c:pt>
                <c:pt idx="1">
                  <c:v>14</c:v>
                </c:pt>
                <c:pt idx="2">
                  <c:v>13</c:v>
                </c:pt>
                <c:pt idx="3">
                  <c:v>7</c:v>
                </c:pt>
                <c:pt idx="4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786-4600-8649-32BEEAEA3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381087"/>
        <c:axId val="1895392607"/>
      </c:scatterChart>
      <c:valAx>
        <c:axId val="1895381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∆H(kW)</a:t>
                </a:r>
                <a:endParaRPr lang="en-GB" sz="32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5392607"/>
        <c:crosses val="autoZero"/>
        <c:crossBetween val="midCat"/>
      </c:valAx>
      <c:valAx>
        <c:axId val="189539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 baseline="0"/>
                  <a:t>T (°C) 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895381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Composite</a:t>
            </a:r>
            <a:r>
              <a:rPr lang="en-US" baseline="0"/>
              <a:t>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v>Hot Stream</c:v>
          </c:tx>
          <c:spPr>
            <a:ln w="25400" cap="rnd">
              <a:solidFill>
                <a:schemeClr val="accent2"/>
              </a:solidFill>
              <a:round/>
              <a:headEnd type="triangle"/>
            </a:ln>
            <a:effectLst/>
          </c:spPr>
          <c:marker>
            <c:symbol val="circle"/>
            <c:size val="5"/>
            <c:spPr>
              <a:solidFill>
                <a:srgbClr val="00B0F0">
                  <a:alpha val="25000"/>
                </a:srgbClr>
              </a:solidFill>
              <a:ln w="0">
                <a:solidFill>
                  <a:srgbClr val="00B0F0">
                    <a:alpha val="95000"/>
                  </a:srgbClr>
                </a:solidFill>
              </a:ln>
              <a:effectLst/>
            </c:spPr>
          </c:marker>
          <c:xVal>
            <c:numRef>
              <c:f>(Sheet2!$C$22,Sheet2!$E$22:$I$22)</c:f>
              <c:numCache>
                <c:formatCode>General</c:formatCode>
                <c:ptCount val="6"/>
                <c:pt idx="0">
                  <c:v>0</c:v>
                </c:pt>
                <c:pt idx="1">
                  <c:v>52.8</c:v>
                </c:pt>
                <c:pt idx="2">
                  <c:v>475.2</c:v>
                </c:pt>
                <c:pt idx="3">
                  <c:v>519.08571428571429</c:v>
                </c:pt>
                <c:pt idx="4">
                  <c:v>598.66352941176467</c:v>
                </c:pt>
                <c:pt idx="5">
                  <c:v>6668.8</c:v>
                </c:pt>
              </c:numCache>
              <c:extLst xmlns:c15="http://schemas.microsoft.com/office/drawing/2012/chart"/>
            </c:numRef>
          </c:xVal>
          <c:yVal>
            <c:numRef>
              <c:f>Sheet2!$E$21:$J$21</c:f>
              <c:numCache>
                <c:formatCode>General</c:formatCode>
                <c:ptCount val="6"/>
                <c:pt idx="0">
                  <c:v>-2</c:v>
                </c:pt>
                <c:pt idx="1">
                  <c:v>-1</c:v>
                </c:pt>
                <c:pt idx="2">
                  <c:v>7</c:v>
                </c:pt>
                <c:pt idx="3">
                  <c:v>13</c:v>
                </c:pt>
                <c:pt idx="4">
                  <c:v>14</c:v>
                </c:pt>
                <c:pt idx="5">
                  <c:v>98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59F-41D5-A1CF-FF04DBCFC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308191"/>
        <c:axId val="8992851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Cold stream</c:v>
                </c:tx>
                <c:spPr>
                  <a:ln w="25400" cap="rnd">
                    <a:solidFill>
                      <a:srgbClr val="FF6D3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rgbClr val="FF6D33"/>
                    </a:solidFill>
                    <a:ln w="9525">
                      <a:solidFill>
                        <a:srgbClr val="FF6D3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(Sheet2!$C$19,Sheet2!$E$19:$I$19)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2202.666666666667</c:v>
                      </c:pt>
                      <c:pt idx="2">
                        <c:v>3385.2000000000007</c:v>
                      </c:pt>
                      <c:pt idx="3">
                        <c:v>4328.880000000001</c:v>
                      </c:pt>
                      <c:pt idx="4">
                        <c:v>6094.5600000000013</c:v>
                      </c:pt>
                      <c:pt idx="5">
                        <c:v>10100.800000000001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Sheet2!$E$18:$J$18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63</c:v>
                      </c:pt>
                      <c:pt idx="1">
                        <c:v>73</c:v>
                      </c:pt>
                      <c:pt idx="2">
                        <c:v>78</c:v>
                      </c:pt>
                      <c:pt idx="3">
                        <c:v>90</c:v>
                      </c:pt>
                      <c:pt idx="4">
                        <c:v>93</c:v>
                      </c:pt>
                      <c:pt idx="5">
                        <c:v>100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C59F-41D5-A1CF-FF04DBCFC788}"/>
                  </c:ext>
                </c:extLst>
              </c15:ser>
            </c15:filteredScatterSeries>
          </c:ext>
        </c:extLst>
      </c:scatterChart>
      <c:valAx>
        <c:axId val="89930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∆H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99285151"/>
        <c:crosses val="autoZero"/>
        <c:crossBetween val="midCat"/>
      </c:valAx>
      <c:valAx>
        <c:axId val="89928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  <a:r>
                  <a:rPr lang="en-US" baseline="0"/>
                  <a:t> (</a:t>
                </a:r>
                <a:r>
                  <a:rPr lang="en-NL" sz="1000" b="0" i="0" u="none" strike="noStrike" baseline="0"/>
                  <a:t>°C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993081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Composite</a:t>
            </a:r>
            <a:r>
              <a:rPr lang="en-US" baseline="0"/>
              <a:t>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Cold stream</c:v>
          </c:tx>
          <c:spPr>
            <a:ln w="25400" cap="rnd">
              <a:solidFill>
                <a:schemeClr val="accent4">
                  <a:lumMod val="60000"/>
                  <a:lumOff val="40000"/>
                </a:schemeClr>
              </a:solidFill>
              <a:round/>
              <a:tailEnd type="triangle"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  <a:alpha val="25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(Sheet2!$C$19,Sheet2!$E$19:$I$19)</c:f>
              <c:numCache>
                <c:formatCode>General</c:formatCode>
                <c:ptCount val="6"/>
                <c:pt idx="0">
                  <c:v>0</c:v>
                </c:pt>
                <c:pt idx="1">
                  <c:v>2202.666666666667</c:v>
                </c:pt>
                <c:pt idx="2">
                  <c:v>3385.2000000000007</c:v>
                </c:pt>
                <c:pt idx="3">
                  <c:v>4328.880000000001</c:v>
                </c:pt>
                <c:pt idx="4">
                  <c:v>6094.5600000000013</c:v>
                </c:pt>
                <c:pt idx="5">
                  <c:v>10100.800000000001</c:v>
                </c:pt>
              </c:numCache>
            </c:numRef>
          </c:xVal>
          <c:yVal>
            <c:numRef>
              <c:f>Sheet2!$E$18:$J$18</c:f>
              <c:numCache>
                <c:formatCode>General</c:formatCode>
                <c:ptCount val="6"/>
                <c:pt idx="0">
                  <c:v>63</c:v>
                </c:pt>
                <c:pt idx="1">
                  <c:v>73</c:v>
                </c:pt>
                <c:pt idx="2">
                  <c:v>78</c:v>
                </c:pt>
                <c:pt idx="3">
                  <c:v>90</c:v>
                </c:pt>
                <c:pt idx="4">
                  <c:v>93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5B-4252-A1E0-F93A413F4942}"/>
            </c:ext>
          </c:extLst>
        </c:ser>
        <c:ser>
          <c:idx val="1"/>
          <c:order val="1"/>
          <c:tx>
            <c:v>Hot Stream</c:v>
          </c:tx>
          <c:spPr>
            <a:ln w="2540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(Sheet2!$C$22,Sheet2!$E$22:$I$22)</c:f>
              <c:numCache>
                <c:formatCode>General</c:formatCode>
                <c:ptCount val="6"/>
                <c:pt idx="0">
                  <c:v>0</c:v>
                </c:pt>
                <c:pt idx="1">
                  <c:v>52.8</c:v>
                </c:pt>
                <c:pt idx="2">
                  <c:v>475.2</c:v>
                </c:pt>
                <c:pt idx="3">
                  <c:v>519.08571428571429</c:v>
                </c:pt>
                <c:pt idx="4">
                  <c:v>598.66352941176467</c:v>
                </c:pt>
                <c:pt idx="5">
                  <c:v>6668.8</c:v>
                </c:pt>
              </c:numCache>
              <c:extLst xmlns:c15="http://schemas.microsoft.com/office/drawing/2012/chart"/>
            </c:numRef>
          </c:xVal>
          <c:yVal>
            <c:numRef>
              <c:f>Sheet2!$E$21:$J$21</c:f>
              <c:numCache>
                <c:formatCode>General</c:formatCode>
                <c:ptCount val="6"/>
                <c:pt idx="0">
                  <c:v>-2</c:v>
                </c:pt>
                <c:pt idx="1">
                  <c:v>-1</c:v>
                </c:pt>
                <c:pt idx="2">
                  <c:v>7</c:v>
                </c:pt>
                <c:pt idx="3">
                  <c:v>13</c:v>
                </c:pt>
                <c:pt idx="4">
                  <c:v>14</c:v>
                </c:pt>
                <c:pt idx="5">
                  <c:v>98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85B-4252-A1E0-F93A413F49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9308191"/>
        <c:axId val="899285151"/>
        <c:extLst/>
      </c:scatterChart>
      <c:valAx>
        <c:axId val="89930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∆H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99285151"/>
        <c:crosses val="autoZero"/>
        <c:crossBetween val="midCat"/>
      </c:valAx>
      <c:valAx>
        <c:axId val="89928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</a:t>
                </a:r>
                <a:r>
                  <a:rPr lang="en-US" baseline="0"/>
                  <a:t> (</a:t>
                </a:r>
                <a:r>
                  <a:rPr lang="en-NL" sz="1000" b="0" i="0" u="none" strike="noStrike" baseline="0"/>
                  <a:t>°C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8993081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319740887701674"/>
          <c:y val="0.46574542643701788"/>
          <c:w val="0.18216412942935933"/>
          <c:h val="0.14764783022504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687988</xdr:colOff>
      <xdr:row>0</xdr:row>
      <xdr:rowOff>118532</xdr:rowOff>
    </xdr:from>
    <xdr:to>
      <xdr:col>26</xdr:col>
      <xdr:colOff>311727</xdr:colOff>
      <xdr:row>36</xdr:row>
      <xdr:rowOff>39889</xdr:rowOff>
    </xdr:to>
    <xdr:graphicFrame macro="">
      <xdr:nvGraphicFramePr>
        <xdr:cNvPr id="11" name="Chart 9">
          <a:extLst>
            <a:ext uri="{FF2B5EF4-FFF2-40B4-BE49-F238E27FC236}">
              <a16:creationId xmlns:a16="http://schemas.microsoft.com/office/drawing/2014/main" id="{25E40EBB-E1CA-DD72-7962-0DB03BB3C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704082</xdr:colOff>
      <xdr:row>36</xdr:row>
      <xdr:rowOff>48148</xdr:rowOff>
    </xdr:from>
    <xdr:to>
      <xdr:col>26</xdr:col>
      <xdr:colOff>334818</xdr:colOff>
      <xdr:row>71</xdr:row>
      <xdr:rowOff>178148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D32CF3A-D802-926F-009A-47D783829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14713</xdr:colOff>
      <xdr:row>16</xdr:row>
      <xdr:rowOff>77439</xdr:rowOff>
    </xdr:from>
    <xdr:to>
      <xdr:col>18</xdr:col>
      <xdr:colOff>332988</xdr:colOff>
      <xdr:row>34</xdr:row>
      <xdr:rowOff>108415</xdr:rowOff>
    </xdr:to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A8F52CFC-53C8-51CA-8083-701D402E96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13750</xdr:colOff>
      <xdr:row>0</xdr:row>
      <xdr:rowOff>85183</xdr:rowOff>
    </xdr:from>
    <xdr:to>
      <xdr:col>18</xdr:col>
      <xdr:colOff>325244</xdr:colOff>
      <xdr:row>16</xdr:row>
      <xdr:rowOff>58282</xdr:rowOff>
    </xdr:to>
    <xdr:graphicFrame macro="">
      <xdr:nvGraphicFramePr>
        <xdr:cNvPr id="12" name="Chart 6">
          <a:extLst>
            <a:ext uri="{FF2B5EF4-FFF2-40B4-BE49-F238E27FC236}">
              <a16:creationId xmlns:a16="http://schemas.microsoft.com/office/drawing/2014/main" id="{70DFEC6B-ED58-4A70-8974-D4A2F9AD51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ay den Haan" id="{E7BBD1E4-854B-4D24-A346-93943A071F37}" userId="S::kahaan@tudelft.nl::fca10538-3284-429c-8b8d-68bbdc39a289" providerId="AD"/>
  <person displayName="Olov Folmer" id="{C5106BC8-628B-4F5B-B391-F45D6596C2A1}" userId="S::ofolmer@tudelft.nl::f80c4acb-9d27-4c25-b956-8674fd58173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P15" dT="2026-06-16T09:40:57.06" personId="{C5106BC8-628B-4F5B-B391-F45D6596C2A1}" id="{C8C36D7F-FC1C-4BD6-A03B-2623626B8426}">
    <text xml:space="preserve">Biggest negative value, otherwise 0.Adjusted residual heat(sigma delta H*) is adding up the interval enthalpies
</text>
  </threadedComment>
  <threadedComment ref="AH15" dT="2026-06-16T09:40:57.06" personId="{C5106BC8-628B-4F5B-B391-F45D6596C2A1}" id="{75B9E000-C392-4418-A696-6F632F58D6D4}">
    <text xml:space="preserve">Biggest negative value, otherwise 0.Adjusted residual heat(sigma delta H*) is adding up the interval enthalpies
</text>
  </threadedComment>
  <threadedComment ref="P16" dT="2026-06-16T09:47:35.05" personId="{C5106BC8-628B-4F5B-B391-F45D6596C2A1}" id="{CCE59064-E81A-4B4A-8DE0-509E0F6C79A9}">
    <text xml:space="preserve">Heating requirement
</text>
  </threadedComment>
  <threadedComment ref="P16" dT="2026-06-16T13:02:50.94" personId="{E7BBD1E4-854B-4D24-A346-93943A071F37}" id="{5771C360-BB12-4308-8074-34D3BA104398}" parentId="{CCE59064-E81A-4B4A-8DE0-509E0F6C79A9}">
    <text>The most negative number tells us what the required amount of additional hot utility.</text>
  </threadedComment>
  <threadedComment ref="AH16" dT="2026-06-16T09:47:35.05" personId="{C5106BC8-628B-4F5B-B391-F45D6596C2A1}" id="{7DC721AC-D66C-4309-ACA0-792A2D939260}">
    <text xml:space="preserve">Heating requirement
</text>
  </threadedComment>
  <threadedComment ref="AH36" dT="2026-06-16T09:47:56.08" personId="{C5106BC8-628B-4F5B-B391-F45D6596C2A1}" id="{461CD2FF-D7B7-442C-A590-13CF35EBA010}">
    <text>Cooling requirement</text>
  </threadedComment>
  <threadedComment ref="P38" dT="2026-06-16T09:47:56.08" personId="{C5106BC8-628B-4F5B-B391-F45D6596C2A1}" id="{4310CC2B-9752-47A9-B09E-3490C10B83C2}">
    <text>Cooling requirement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A61A4-031D-42ED-9AB1-AE304D457039}">
  <dimension ref="A2:AD56"/>
  <sheetViews>
    <sheetView tabSelected="1" topLeftCell="A24" zoomScale="55" zoomScaleNormal="55" workbookViewId="0">
      <selection activeCell="AC17" sqref="AC17"/>
    </sheetView>
  </sheetViews>
  <sheetFormatPr defaultRowHeight="14.4" x14ac:dyDescent="0.3"/>
  <cols>
    <col min="1" max="1" width="10.6640625" bestFit="1" customWidth="1"/>
    <col min="2" max="2" width="12.5546875" bestFit="1" customWidth="1"/>
    <col min="3" max="3" width="23.5546875" bestFit="1" customWidth="1"/>
    <col min="4" max="4" width="13.21875" bestFit="1" customWidth="1"/>
    <col min="5" max="5" width="12.44140625" customWidth="1"/>
    <col min="8" max="8" width="14.21875" bestFit="1" customWidth="1"/>
    <col min="17" max="17" width="13.21875" bestFit="1" customWidth="1"/>
    <col min="24" max="24" width="9.77734375" customWidth="1"/>
  </cols>
  <sheetData>
    <row r="2" spans="1:30" x14ac:dyDescent="0.3">
      <c r="A2" s="35"/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AC2" s="36" t="s">
        <v>47</v>
      </c>
      <c r="AD2" s="36" t="s">
        <v>41</v>
      </c>
    </row>
    <row r="3" spans="1:30" ht="15.6" x14ac:dyDescent="0.35">
      <c r="A3" s="35"/>
      <c r="B3" s="43" t="s">
        <v>0</v>
      </c>
      <c r="C3" s="43" t="s">
        <v>1</v>
      </c>
      <c r="D3" s="43" t="s">
        <v>61</v>
      </c>
      <c r="E3" s="43" t="s">
        <v>60</v>
      </c>
      <c r="F3" s="43" t="s">
        <v>18</v>
      </c>
      <c r="G3" s="43" t="s">
        <v>2</v>
      </c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AC3" s="36">
        <v>63</v>
      </c>
      <c r="AD3" s="36">
        <v>1000</v>
      </c>
    </row>
    <row r="4" spans="1:30" x14ac:dyDescent="0.3">
      <c r="A4" s="35"/>
      <c r="B4" s="43" t="s">
        <v>65</v>
      </c>
      <c r="C4" s="43" t="s">
        <v>24</v>
      </c>
      <c r="D4" s="43">
        <v>73</v>
      </c>
      <c r="E4" s="43">
        <v>93</v>
      </c>
      <c r="F4" s="43">
        <v>324.8</v>
      </c>
      <c r="G4" s="43">
        <f t="shared" ref="G4:G11" si="0">F4/(E4-D4)</f>
        <v>16.240000000000002</v>
      </c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AC4" s="36">
        <v>73</v>
      </c>
      <c r="AD4" s="36">
        <f>D29+AD3</f>
        <v>3202.666666666667</v>
      </c>
    </row>
    <row r="5" spans="1:30" x14ac:dyDescent="0.3">
      <c r="A5" s="35"/>
      <c r="B5" s="43" t="s">
        <v>66</v>
      </c>
      <c r="C5" s="43" t="s">
        <v>3</v>
      </c>
      <c r="D5" s="43">
        <v>63</v>
      </c>
      <c r="E5" s="43">
        <v>78</v>
      </c>
      <c r="F5" s="43">
        <v>3304</v>
      </c>
      <c r="G5" s="43">
        <f t="shared" si="0"/>
        <v>220.26666666666668</v>
      </c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AC5" s="36">
        <v>78</v>
      </c>
      <c r="AD5" s="36">
        <f>D30+AD4</f>
        <v>4385.2000000000007</v>
      </c>
    </row>
    <row r="6" spans="1:30" x14ac:dyDescent="0.3">
      <c r="A6" s="35"/>
      <c r="B6" s="43" t="s">
        <v>67</v>
      </c>
      <c r="C6" s="43" t="s">
        <v>6</v>
      </c>
      <c r="D6" s="43">
        <v>78</v>
      </c>
      <c r="E6" s="43">
        <v>90</v>
      </c>
      <c r="F6" s="43">
        <v>748.8</v>
      </c>
      <c r="G6" s="43">
        <f t="shared" si="0"/>
        <v>62.4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AC6" s="36">
        <v>90</v>
      </c>
      <c r="AD6" s="36">
        <f>D31+AD5</f>
        <v>5328.880000000001</v>
      </c>
    </row>
    <row r="7" spans="1:30" x14ac:dyDescent="0.3">
      <c r="A7" s="35"/>
      <c r="B7" s="43" t="s">
        <v>68</v>
      </c>
      <c r="C7" s="43" t="s">
        <v>10</v>
      </c>
      <c r="D7" s="43">
        <v>90</v>
      </c>
      <c r="E7" s="43">
        <v>100</v>
      </c>
      <c r="F7" s="43">
        <v>5723.2</v>
      </c>
      <c r="G7" s="43">
        <f t="shared" si="0"/>
        <v>572.31999999999994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AC7" s="36">
        <v>93</v>
      </c>
      <c r="AD7" s="36">
        <f>D32+AD6</f>
        <v>7094.5600000000013</v>
      </c>
    </row>
    <row r="8" spans="1:30" x14ac:dyDescent="0.3">
      <c r="A8" s="35"/>
      <c r="B8" s="43" t="s">
        <v>69</v>
      </c>
      <c r="C8" s="43" t="s">
        <v>8</v>
      </c>
      <c r="D8" s="43">
        <v>98</v>
      </c>
      <c r="E8" s="43">
        <v>13</v>
      </c>
      <c r="F8" s="43">
        <v>-6142.4</v>
      </c>
      <c r="G8" s="43">
        <f t="shared" si="0"/>
        <v>72.263529411764708</v>
      </c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AC8" s="36">
        <v>100</v>
      </c>
      <c r="AD8" s="36">
        <f>D33+AD7</f>
        <v>11100.800000000001</v>
      </c>
    </row>
    <row r="9" spans="1:30" x14ac:dyDescent="0.3">
      <c r="A9" s="35"/>
      <c r="B9" s="43" t="s">
        <v>70</v>
      </c>
      <c r="C9" s="43" t="s">
        <v>13</v>
      </c>
      <c r="D9" s="43">
        <v>14</v>
      </c>
      <c r="E9" s="43">
        <v>7</v>
      </c>
      <c r="F9" s="43">
        <v>-51.2</v>
      </c>
      <c r="G9" s="43">
        <f t="shared" si="0"/>
        <v>7.3142857142857149</v>
      </c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</row>
    <row r="10" spans="1:30" x14ac:dyDescent="0.3">
      <c r="A10" s="35"/>
      <c r="B10" s="43" t="s">
        <v>71</v>
      </c>
      <c r="C10" s="43" t="s">
        <v>14</v>
      </c>
      <c r="D10" s="43">
        <v>7</v>
      </c>
      <c r="E10" s="43">
        <v>-1</v>
      </c>
      <c r="F10" s="43">
        <f>-422.4</f>
        <v>-422.4</v>
      </c>
      <c r="G10" s="43">
        <f t="shared" si="0"/>
        <v>52.8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</row>
    <row r="11" spans="1:30" x14ac:dyDescent="0.3">
      <c r="A11" s="35"/>
      <c r="B11" s="43" t="s">
        <v>72</v>
      </c>
      <c r="C11" s="43" t="s">
        <v>15</v>
      </c>
      <c r="D11" s="43">
        <v>-1</v>
      </c>
      <c r="E11" s="43">
        <v>-2</v>
      </c>
      <c r="F11" s="43">
        <f>-52.8</f>
        <v>-52.8</v>
      </c>
      <c r="G11" s="43">
        <f t="shared" si="0"/>
        <v>52.8</v>
      </c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</row>
    <row r="12" spans="1:30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</row>
    <row r="13" spans="1:30" x14ac:dyDescent="0.3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</row>
    <row r="14" spans="1:30" x14ac:dyDescent="0.3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</row>
    <row r="15" spans="1:30" x14ac:dyDescent="0.3">
      <c r="A15" s="35"/>
      <c r="B15" s="36" t="s">
        <v>0</v>
      </c>
      <c r="C15" s="36"/>
      <c r="D15" s="36" t="s">
        <v>18</v>
      </c>
      <c r="E15" s="36" t="s">
        <v>62</v>
      </c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</row>
    <row r="16" spans="1:30" x14ac:dyDescent="0.3">
      <c r="A16" s="35"/>
      <c r="B16" s="36" t="s">
        <v>65</v>
      </c>
      <c r="C16" s="36" t="s">
        <v>42</v>
      </c>
      <c r="D16" s="36">
        <v>0</v>
      </c>
      <c r="E16" s="36">
        <v>73</v>
      </c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</row>
    <row r="17" spans="1:24" x14ac:dyDescent="0.3">
      <c r="A17" s="35"/>
      <c r="B17" s="36"/>
      <c r="C17" s="36" t="s">
        <v>59</v>
      </c>
      <c r="D17" s="36">
        <v>324.8</v>
      </c>
      <c r="E17" s="36">
        <v>93</v>
      </c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</row>
    <row r="18" spans="1:24" x14ac:dyDescent="0.3">
      <c r="A18" s="35"/>
      <c r="B18" s="36"/>
      <c r="C18" s="36"/>
      <c r="D18" s="36"/>
      <c r="E18" s="36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</row>
    <row r="19" spans="1:24" x14ac:dyDescent="0.3">
      <c r="A19" s="35"/>
      <c r="B19" s="36" t="s">
        <v>66</v>
      </c>
      <c r="C19" s="36" t="s">
        <v>42</v>
      </c>
      <c r="D19" s="36">
        <v>100</v>
      </c>
      <c r="E19" s="36">
        <v>63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</row>
    <row r="20" spans="1:24" x14ac:dyDescent="0.3">
      <c r="A20" s="35"/>
      <c r="B20" s="36"/>
      <c r="C20" s="36" t="s">
        <v>59</v>
      </c>
      <c r="D20" s="36">
        <v>3404</v>
      </c>
      <c r="E20" s="36">
        <v>78</v>
      </c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</row>
    <row r="21" spans="1:24" x14ac:dyDescent="0.3">
      <c r="A21" s="35"/>
      <c r="B21" s="36"/>
      <c r="C21" s="36"/>
      <c r="D21" s="36"/>
      <c r="E21" s="36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</row>
    <row r="22" spans="1:24" x14ac:dyDescent="0.3">
      <c r="A22" s="35"/>
      <c r="B22" s="36" t="s">
        <v>67</v>
      </c>
      <c r="C22" s="36" t="s">
        <v>42</v>
      </c>
      <c r="D22" s="36">
        <v>200</v>
      </c>
      <c r="E22" s="36">
        <v>78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</row>
    <row r="23" spans="1:24" x14ac:dyDescent="0.3">
      <c r="A23" s="35"/>
      <c r="B23" s="36"/>
      <c r="C23" s="36" t="s">
        <v>59</v>
      </c>
      <c r="D23" s="36">
        <v>948.8</v>
      </c>
      <c r="E23" s="36">
        <v>90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</row>
    <row r="24" spans="1:24" x14ac:dyDescent="0.3">
      <c r="A24" s="35"/>
      <c r="B24" s="36"/>
      <c r="C24" s="36"/>
      <c r="D24" s="36"/>
      <c r="E24" s="36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</row>
    <row r="25" spans="1:24" x14ac:dyDescent="0.3">
      <c r="A25" s="35"/>
      <c r="B25" s="36" t="s">
        <v>68</v>
      </c>
      <c r="C25" s="36" t="s">
        <v>42</v>
      </c>
      <c r="D25" s="36">
        <v>300</v>
      </c>
      <c r="E25" s="36">
        <v>90</v>
      </c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</row>
    <row r="26" spans="1:24" x14ac:dyDescent="0.3">
      <c r="A26" s="35"/>
      <c r="B26" s="36"/>
      <c r="C26" s="36" t="s">
        <v>59</v>
      </c>
      <c r="D26" s="36">
        <f>5723.2+D25</f>
        <v>6023.2</v>
      </c>
      <c r="E26" s="36">
        <v>100</v>
      </c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</row>
    <row r="27" spans="1:24" x14ac:dyDescent="0.3">
      <c r="A27" s="36" t="s">
        <v>48</v>
      </c>
      <c r="B27" s="36"/>
      <c r="C27" s="36"/>
      <c r="D27" s="36"/>
      <c r="E27" s="36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</row>
    <row r="28" spans="1:24" x14ac:dyDescent="0.3">
      <c r="A28" s="36" t="s">
        <v>45</v>
      </c>
      <c r="B28" s="36" t="s">
        <v>44</v>
      </c>
      <c r="C28" s="36" t="s">
        <v>43</v>
      </c>
      <c r="D28" s="36" t="s">
        <v>41</v>
      </c>
      <c r="E28" s="36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</row>
    <row r="29" spans="1:24" x14ac:dyDescent="0.3">
      <c r="A29" s="36" t="s">
        <v>50</v>
      </c>
      <c r="B29" s="36">
        <f>73-63</f>
        <v>10</v>
      </c>
      <c r="C29" s="36">
        <f>G5</f>
        <v>220.26666666666668</v>
      </c>
      <c r="D29" s="36">
        <f>B29*C29</f>
        <v>2202.666666666667</v>
      </c>
      <c r="E29" s="36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</row>
    <row r="30" spans="1:24" x14ac:dyDescent="0.3">
      <c r="A30" s="36" t="s">
        <v>51</v>
      </c>
      <c r="B30" s="36">
        <f>78-73</f>
        <v>5</v>
      </c>
      <c r="C30" s="36">
        <f>G4+G5</f>
        <v>236.50666666666669</v>
      </c>
      <c r="D30" s="36">
        <f t="shared" ref="D30:D33" si="1">B30*C30</f>
        <v>1182.5333333333335</v>
      </c>
      <c r="E30" s="36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</row>
    <row r="31" spans="1:24" x14ac:dyDescent="0.3">
      <c r="A31" s="36" t="s">
        <v>52</v>
      </c>
      <c r="B31" s="36">
        <f>90-78</f>
        <v>12</v>
      </c>
      <c r="C31" s="36">
        <f>G6+G4</f>
        <v>78.64</v>
      </c>
      <c r="D31" s="36">
        <f t="shared" si="1"/>
        <v>943.68000000000006</v>
      </c>
      <c r="E31" s="36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</row>
    <row r="32" spans="1:24" x14ac:dyDescent="0.3">
      <c r="A32" s="36" t="s">
        <v>53</v>
      </c>
      <c r="B32" s="36">
        <f>93-90</f>
        <v>3</v>
      </c>
      <c r="C32" s="36">
        <f>G7+G4</f>
        <v>588.55999999999995</v>
      </c>
      <c r="D32" s="36">
        <f t="shared" si="1"/>
        <v>1765.6799999999998</v>
      </c>
      <c r="E32" s="36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</row>
    <row r="33" spans="1:30" x14ac:dyDescent="0.3">
      <c r="A33" s="36" t="s">
        <v>54</v>
      </c>
      <c r="B33" s="36">
        <f>100-93</f>
        <v>7</v>
      </c>
      <c r="C33" s="36">
        <f>G7</f>
        <v>572.31999999999994</v>
      </c>
      <c r="D33" s="36">
        <f t="shared" si="1"/>
        <v>4006.24</v>
      </c>
      <c r="E33" s="36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</row>
    <row r="34" spans="1:30" x14ac:dyDescent="0.3">
      <c r="A34" s="36"/>
      <c r="B34" s="36"/>
      <c r="C34" s="36"/>
      <c r="D34" s="36"/>
      <c r="E34" s="36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</row>
    <row r="35" spans="1:30" x14ac:dyDescent="0.3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</row>
    <row r="36" spans="1:30" x14ac:dyDescent="0.3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</row>
    <row r="37" spans="1:30" x14ac:dyDescent="0.3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</row>
    <row r="38" spans="1:30" x14ac:dyDescent="0.3">
      <c r="A38" s="35"/>
      <c r="B38" s="38" t="s">
        <v>0</v>
      </c>
      <c r="C38" s="38"/>
      <c r="D38" s="38" t="s">
        <v>18</v>
      </c>
      <c r="E38" s="38" t="s">
        <v>62</v>
      </c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AC38" s="38" t="s">
        <v>62</v>
      </c>
      <c r="AD38" s="38" t="s">
        <v>41</v>
      </c>
    </row>
    <row r="39" spans="1:30" x14ac:dyDescent="0.3">
      <c r="A39" s="35"/>
      <c r="B39" s="38" t="s">
        <v>69</v>
      </c>
      <c r="C39" s="38" t="s">
        <v>42</v>
      </c>
      <c r="D39" s="38">
        <v>0</v>
      </c>
      <c r="E39" s="38">
        <v>98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AC39" s="38">
        <v>98</v>
      </c>
      <c r="AD39" s="38">
        <v>1000</v>
      </c>
    </row>
    <row r="40" spans="1:30" x14ac:dyDescent="0.3">
      <c r="A40" s="35"/>
      <c r="B40" s="38"/>
      <c r="C40" s="38" t="s">
        <v>59</v>
      </c>
      <c r="D40" s="38">
        <v>-6142.4</v>
      </c>
      <c r="E40" s="38">
        <v>13</v>
      </c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AC40" s="38">
        <v>14</v>
      </c>
      <c r="AD40" s="38">
        <f>AD39+D52</f>
        <v>-5070.1364705882352</v>
      </c>
    </row>
    <row r="41" spans="1:30" x14ac:dyDescent="0.3">
      <c r="A41" s="35"/>
      <c r="B41" s="38"/>
      <c r="C41" s="38"/>
      <c r="D41" s="38"/>
      <c r="E41" s="38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AC41" s="38">
        <v>13</v>
      </c>
      <c r="AD41" s="38">
        <f>AD40+D53</f>
        <v>-5149.7142857142853</v>
      </c>
    </row>
    <row r="42" spans="1:30" x14ac:dyDescent="0.3">
      <c r="A42" s="35"/>
      <c r="B42" s="38" t="s">
        <v>70</v>
      </c>
      <c r="C42" s="38" t="s">
        <v>42</v>
      </c>
      <c r="D42" s="38">
        <v>100</v>
      </c>
      <c r="E42" s="38">
        <v>14</v>
      </c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AC42" s="38">
        <v>7</v>
      </c>
      <c r="AD42" s="38">
        <f>AD41+D54</f>
        <v>-5193.5999999999995</v>
      </c>
    </row>
    <row r="43" spans="1:30" x14ac:dyDescent="0.3">
      <c r="A43" s="35"/>
      <c r="B43" s="38"/>
      <c r="C43" s="38" t="s">
        <v>59</v>
      </c>
      <c r="D43" s="38">
        <f>100-51.2</f>
        <v>48.8</v>
      </c>
      <c r="E43" s="38">
        <v>7</v>
      </c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AC43" s="38">
        <v>-2</v>
      </c>
      <c r="AD43" s="38">
        <f>AD42+D55</f>
        <v>-5668.7999999999993</v>
      </c>
    </row>
    <row r="44" spans="1:30" x14ac:dyDescent="0.3">
      <c r="A44" s="35"/>
      <c r="B44" s="38"/>
      <c r="C44" s="38"/>
      <c r="D44" s="38"/>
      <c r="E44" s="38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</row>
    <row r="45" spans="1:30" x14ac:dyDescent="0.3">
      <c r="A45" s="35"/>
      <c r="B45" s="38" t="s">
        <v>71</v>
      </c>
      <c r="C45" s="38" t="s">
        <v>42</v>
      </c>
      <c r="D45" s="38">
        <v>200</v>
      </c>
      <c r="E45" s="38">
        <v>7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</row>
    <row r="46" spans="1:30" x14ac:dyDescent="0.3">
      <c r="A46" s="35"/>
      <c r="B46" s="38"/>
      <c r="C46" s="38" t="s">
        <v>59</v>
      </c>
      <c r="D46" s="38">
        <v>-222.4</v>
      </c>
      <c r="E46" s="38">
        <v>-1</v>
      </c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</row>
    <row r="47" spans="1:30" x14ac:dyDescent="0.3">
      <c r="A47" s="35"/>
      <c r="B47" s="38"/>
      <c r="C47" s="38"/>
      <c r="D47" s="38"/>
      <c r="E47" s="38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</row>
    <row r="48" spans="1:30" x14ac:dyDescent="0.3">
      <c r="A48" s="35"/>
      <c r="B48" s="38" t="s">
        <v>72</v>
      </c>
      <c r="C48" s="38" t="s">
        <v>42</v>
      </c>
      <c r="D48" s="38">
        <v>400</v>
      </c>
      <c r="E48" s="38">
        <v>-1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</row>
    <row r="49" spans="1:24" x14ac:dyDescent="0.3">
      <c r="A49" s="35"/>
      <c r="B49" s="38"/>
      <c r="C49" s="38" t="s">
        <v>59</v>
      </c>
      <c r="D49" s="38">
        <f>400-52.8</f>
        <v>347.2</v>
      </c>
      <c r="E49" s="38">
        <v>-2</v>
      </c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</row>
    <row r="50" spans="1:24" x14ac:dyDescent="0.3">
      <c r="A50" s="38" t="s">
        <v>49</v>
      </c>
      <c r="B50" s="38"/>
      <c r="C50" s="38"/>
      <c r="D50" s="38"/>
      <c r="E50" s="38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</row>
    <row r="51" spans="1:24" x14ac:dyDescent="0.3">
      <c r="A51" s="38" t="s">
        <v>45</v>
      </c>
      <c r="B51" s="38" t="s">
        <v>44</v>
      </c>
      <c r="C51" s="38" t="s">
        <v>43</v>
      </c>
      <c r="D51" s="38" t="s">
        <v>41</v>
      </c>
      <c r="E51" s="38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</row>
    <row r="52" spans="1:24" x14ac:dyDescent="0.3">
      <c r="A52" s="38" t="s">
        <v>55</v>
      </c>
      <c r="B52" s="38">
        <f>14-98</f>
        <v>-84</v>
      </c>
      <c r="C52" s="38">
        <f>G8</f>
        <v>72.263529411764708</v>
      </c>
      <c r="D52" s="38">
        <f>C52*B52</f>
        <v>-6070.1364705882352</v>
      </c>
      <c r="E52" s="38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</row>
    <row r="53" spans="1:24" x14ac:dyDescent="0.3">
      <c r="A53" s="38" t="s">
        <v>57</v>
      </c>
      <c r="B53" s="38">
        <f>13-14</f>
        <v>-1</v>
      </c>
      <c r="C53" s="38">
        <f>G8+G9</f>
        <v>79.577815126050425</v>
      </c>
      <c r="D53" s="38">
        <f t="shared" ref="D53:D55" si="2">C53*B53</f>
        <v>-79.577815126050425</v>
      </c>
      <c r="E53" s="38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</row>
    <row r="54" spans="1:24" x14ac:dyDescent="0.3">
      <c r="A54" s="38" t="s">
        <v>58</v>
      </c>
      <c r="B54" s="38">
        <f>7-13</f>
        <v>-6</v>
      </c>
      <c r="C54" s="38">
        <f>G9</f>
        <v>7.3142857142857149</v>
      </c>
      <c r="D54" s="38">
        <f t="shared" si="2"/>
        <v>-43.885714285714286</v>
      </c>
      <c r="E54" s="38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</row>
    <row r="55" spans="1:24" x14ac:dyDescent="0.3">
      <c r="A55" s="38" t="s">
        <v>56</v>
      </c>
      <c r="B55" s="38">
        <f>-2-7</f>
        <v>-9</v>
      </c>
      <c r="C55" s="38">
        <f>G10</f>
        <v>52.8</v>
      </c>
      <c r="D55" s="38">
        <f t="shared" si="2"/>
        <v>-475.2</v>
      </c>
      <c r="E55" s="38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</row>
    <row r="56" spans="1:24" x14ac:dyDescent="0.3">
      <c r="D56" s="11"/>
    </row>
  </sheetData>
  <phoneticPr fontId="3" type="noConversion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C750C-86C8-4EEC-971B-F73EEC822685}">
  <dimension ref="A1:J22"/>
  <sheetViews>
    <sheetView zoomScale="71" zoomScaleNormal="100" workbookViewId="0">
      <selection activeCell="G6" sqref="G6"/>
    </sheetView>
  </sheetViews>
  <sheetFormatPr defaultRowHeight="14.4" x14ac:dyDescent="0.3"/>
  <cols>
    <col min="1" max="1" width="11" bestFit="1" customWidth="1"/>
    <col min="2" max="2" width="23" customWidth="1"/>
    <col min="3" max="3" width="25.21875" bestFit="1" customWidth="1"/>
    <col min="4" max="4" width="22.109375" customWidth="1"/>
    <col min="5" max="5" width="12" customWidth="1"/>
    <col min="6" max="7" width="14.5546875" customWidth="1"/>
    <col min="8" max="8" width="13.5546875" customWidth="1"/>
    <col min="9" max="9" width="13.77734375" customWidth="1"/>
    <col min="10" max="10" width="13.88671875" customWidth="1"/>
  </cols>
  <sheetData>
    <row r="1" spans="1:10" x14ac:dyDescent="0.3">
      <c r="B1" s="46" t="s">
        <v>27</v>
      </c>
      <c r="C1" s="46"/>
      <c r="D1" s="46"/>
      <c r="E1" s="46"/>
      <c r="F1" s="46"/>
      <c r="G1" s="46"/>
    </row>
    <row r="2" spans="1:10" ht="15.6" x14ac:dyDescent="0.35">
      <c r="B2" s="9" t="s">
        <v>0</v>
      </c>
      <c r="C2" s="9" t="s">
        <v>1</v>
      </c>
      <c r="D2" s="10" t="s">
        <v>17</v>
      </c>
      <c r="E2" s="10" t="s">
        <v>16</v>
      </c>
      <c r="F2" s="10" t="s">
        <v>18</v>
      </c>
      <c r="G2" s="10" t="s">
        <v>2</v>
      </c>
      <c r="H2" s="42" t="s">
        <v>88</v>
      </c>
    </row>
    <row r="3" spans="1:10" x14ac:dyDescent="0.3">
      <c r="A3" t="s">
        <v>49</v>
      </c>
      <c r="B3" s="14" t="s">
        <v>23</v>
      </c>
      <c r="C3" s="5" t="s">
        <v>24</v>
      </c>
      <c r="D3" s="14">
        <v>73</v>
      </c>
      <c r="E3" s="3">
        <v>93</v>
      </c>
      <c r="F3" s="14">
        <v>324.8</v>
      </c>
      <c r="G3" s="4">
        <f t="shared" ref="G3:G10" si="0">F3/(E3-D3)</f>
        <v>16.240000000000002</v>
      </c>
      <c r="H3">
        <f t="shared" ref="H3:H10" si="1">G3*1000</f>
        <v>16240.000000000002</v>
      </c>
    </row>
    <row r="4" spans="1:10" x14ac:dyDescent="0.3">
      <c r="B4" s="15" t="s">
        <v>4</v>
      </c>
      <c r="C4" s="5" t="s">
        <v>3</v>
      </c>
      <c r="D4" s="15">
        <v>63</v>
      </c>
      <c r="E4" s="5">
        <v>78</v>
      </c>
      <c r="F4" s="15">
        <v>3304</v>
      </c>
      <c r="G4" s="6">
        <f t="shared" si="0"/>
        <v>220.26666666666668</v>
      </c>
      <c r="H4">
        <f t="shared" si="1"/>
        <v>220266.66666666669</v>
      </c>
    </row>
    <row r="5" spans="1:10" x14ac:dyDescent="0.3">
      <c r="B5" s="15" t="s">
        <v>5</v>
      </c>
      <c r="C5" s="5" t="s">
        <v>6</v>
      </c>
      <c r="D5" s="15">
        <v>78</v>
      </c>
      <c r="E5" s="5">
        <v>90</v>
      </c>
      <c r="F5" s="15">
        <v>748.8</v>
      </c>
      <c r="G5" s="6">
        <f t="shared" si="0"/>
        <v>62.4</v>
      </c>
      <c r="H5">
        <f t="shared" si="1"/>
        <v>62400</v>
      </c>
    </row>
    <row r="6" spans="1:10" x14ac:dyDescent="0.3">
      <c r="B6" s="16" t="s">
        <v>9</v>
      </c>
      <c r="C6" s="7" t="s">
        <v>10</v>
      </c>
      <c r="D6" s="16">
        <v>90</v>
      </c>
      <c r="E6" s="7">
        <v>100</v>
      </c>
      <c r="F6" s="16">
        <v>5723.2</v>
      </c>
      <c r="G6" s="8">
        <f t="shared" si="0"/>
        <v>572.31999999999994</v>
      </c>
      <c r="H6">
        <f t="shared" si="1"/>
        <v>572319.99999999988</v>
      </c>
    </row>
    <row r="7" spans="1:10" x14ac:dyDescent="0.3">
      <c r="A7" t="s">
        <v>48</v>
      </c>
      <c r="B7" s="14" t="s">
        <v>7</v>
      </c>
      <c r="C7" s="5" t="s">
        <v>8</v>
      </c>
      <c r="D7" s="15">
        <v>98</v>
      </c>
      <c r="E7" s="5">
        <v>13</v>
      </c>
      <c r="F7" s="15">
        <v>-6142.4</v>
      </c>
      <c r="G7" s="6">
        <f t="shared" si="0"/>
        <v>72.263529411764708</v>
      </c>
      <c r="H7">
        <f t="shared" si="1"/>
        <v>72263.529411764714</v>
      </c>
    </row>
    <row r="8" spans="1:10" x14ac:dyDescent="0.3">
      <c r="B8" s="15" t="s">
        <v>11</v>
      </c>
      <c r="C8" s="5" t="s">
        <v>13</v>
      </c>
      <c r="D8" s="15">
        <v>14</v>
      </c>
      <c r="E8" s="5">
        <v>7</v>
      </c>
      <c r="F8" s="15">
        <v>-51.2</v>
      </c>
      <c r="G8" s="6">
        <f t="shared" si="0"/>
        <v>7.3142857142857149</v>
      </c>
      <c r="H8">
        <f t="shared" si="1"/>
        <v>7314.2857142857147</v>
      </c>
    </row>
    <row r="9" spans="1:10" x14ac:dyDescent="0.3">
      <c r="B9" s="15" t="s">
        <v>12</v>
      </c>
      <c r="C9" s="5" t="s">
        <v>14</v>
      </c>
      <c r="D9" s="15">
        <v>7</v>
      </c>
      <c r="E9" s="5">
        <v>-1</v>
      </c>
      <c r="F9" s="15">
        <f>-422.4</f>
        <v>-422.4</v>
      </c>
      <c r="G9" s="6">
        <f t="shared" si="0"/>
        <v>52.8</v>
      </c>
      <c r="H9">
        <f t="shared" si="1"/>
        <v>52800</v>
      </c>
    </row>
    <row r="10" spans="1:10" x14ac:dyDescent="0.3">
      <c r="B10" s="16" t="s">
        <v>19</v>
      </c>
      <c r="C10" s="7" t="s">
        <v>15</v>
      </c>
      <c r="D10" s="16">
        <v>-1</v>
      </c>
      <c r="E10" s="7">
        <v>-2</v>
      </c>
      <c r="F10" s="16">
        <f>-52.8</f>
        <v>-52.8</v>
      </c>
      <c r="G10" s="8">
        <f t="shared" si="0"/>
        <v>52.8</v>
      </c>
      <c r="H10">
        <f t="shared" si="1"/>
        <v>52800</v>
      </c>
    </row>
    <row r="11" spans="1:10" x14ac:dyDescent="0.3">
      <c r="B11" s="12" t="s">
        <v>25</v>
      </c>
      <c r="C11" s="1"/>
      <c r="D11" s="1"/>
      <c r="E11" s="1"/>
      <c r="F11" s="1"/>
      <c r="G11" s="1"/>
    </row>
    <row r="12" spans="1:10" x14ac:dyDescent="0.3">
      <c r="B12" s="13" t="s">
        <v>20</v>
      </c>
      <c r="C12" s="1">
        <v>63</v>
      </c>
      <c r="D12" s="1">
        <v>78</v>
      </c>
      <c r="E12" s="1">
        <v>90</v>
      </c>
      <c r="F12" s="1">
        <v>100</v>
      </c>
      <c r="G12" s="1"/>
    </row>
    <row r="13" spans="1:10" x14ac:dyDescent="0.3">
      <c r="B13" s="13" t="s">
        <v>21</v>
      </c>
      <c r="C13" s="1">
        <v>0</v>
      </c>
      <c r="D13" s="1">
        <f>F3+C13</f>
        <v>324.8</v>
      </c>
      <c r="E13" s="1">
        <f>SUM(F3:F5)+C13</f>
        <v>4377.6000000000004</v>
      </c>
      <c r="F13" s="1">
        <f>SUM(F3:F6)+C13</f>
        <v>10100.799999999999</v>
      </c>
      <c r="G13" s="1"/>
    </row>
    <row r="14" spans="1:10" x14ac:dyDescent="0.3">
      <c r="B14" s="13" t="s">
        <v>20</v>
      </c>
      <c r="C14" s="1">
        <v>-2</v>
      </c>
      <c r="D14" s="1">
        <v>-1</v>
      </c>
      <c r="E14" s="1">
        <v>7</v>
      </c>
      <c r="F14" s="1">
        <v>14</v>
      </c>
      <c r="G14" s="1">
        <v>98</v>
      </c>
    </row>
    <row r="15" spans="1:10" x14ac:dyDescent="0.3">
      <c r="B15" s="13" t="s">
        <v>22</v>
      </c>
      <c r="C15" s="1">
        <v>0</v>
      </c>
      <c r="D15" s="1">
        <f>ABS(F10)+C15</f>
        <v>52.8</v>
      </c>
      <c r="E15" s="1">
        <f>ABS(F10-F9)+C15</f>
        <v>369.59999999999997</v>
      </c>
      <c r="F15" s="1">
        <f>ABS(F10-F9-F8)+C15</f>
        <v>420.79999999999995</v>
      </c>
      <c r="G15" s="1">
        <f>ABS(F10-F9-F8-F7)+C15</f>
        <v>6563.2</v>
      </c>
    </row>
    <row r="16" spans="1:10" x14ac:dyDescent="0.3">
      <c r="B16" s="47" t="s">
        <v>26</v>
      </c>
      <c r="C16" s="48"/>
      <c r="D16" s="48"/>
      <c r="E16" s="48"/>
      <c r="F16" s="48"/>
      <c r="G16" s="48"/>
      <c r="H16" s="48"/>
      <c r="I16" s="48"/>
      <c r="J16" s="49"/>
    </row>
    <row r="17" spans="2:10" ht="34.200000000000003" customHeight="1" x14ac:dyDescent="0.3">
      <c r="B17" s="50" t="s">
        <v>36</v>
      </c>
      <c r="C17" s="32" t="s">
        <v>40</v>
      </c>
      <c r="D17" s="29" t="s">
        <v>28</v>
      </c>
      <c r="E17" s="30" t="s">
        <v>4</v>
      </c>
      <c r="F17" s="30" t="s">
        <v>37</v>
      </c>
      <c r="G17" s="30" t="s">
        <v>31</v>
      </c>
      <c r="H17" s="30" t="s">
        <v>32</v>
      </c>
      <c r="I17" s="30" t="s">
        <v>9</v>
      </c>
      <c r="J17" s="31" t="s">
        <v>33</v>
      </c>
    </row>
    <row r="18" spans="2:10" ht="15.6" x14ac:dyDescent="0.3">
      <c r="B18" s="51"/>
      <c r="C18" s="33" t="s">
        <v>46</v>
      </c>
      <c r="D18" s="20" t="s">
        <v>30</v>
      </c>
      <c r="E18" s="2">
        <v>63</v>
      </c>
      <c r="F18" s="2">
        <v>73</v>
      </c>
      <c r="G18" s="2">
        <v>78</v>
      </c>
      <c r="H18" s="2">
        <v>90</v>
      </c>
      <c r="I18" s="2">
        <v>93</v>
      </c>
      <c r="J18" s="20">
        <v>100</v>
      </c>
    </row>
    <row r="19" spans="2:10" ht="14.4" customHeight="1" x14ac:dyDescent="0.3">
      <c r="B19" s="52"/>
      <c r="C19" s="34">
        <v>0</v>
      </c>
      <c r="D19" s="19" t="s">
        <v>29</v>
      </c>
      <c r="E19" s="2">
        <f>C19 + ((F18-E18)*G4)</f>
        <v>2202.666666666667</v>
      </c>
      <c r="F19" s="2">
        <f>E19 + ((G18-F18)*(G4+G3))</f>
        <v>3385.2000000000007</v>
      </c>
      <c r="G19" s="2">
        <f>F19+((H18-G18)*(G3+G5))</f>
        <v>4328.880000000001</v>
      </c>
      <c r="H19" s="2">
        <f>G19+((I18-H18)*(G3+G6))</f>
        <v>6094.5600000000013</v>
      </c>
      <c r="I19" s="2">
        <f>H19+((J18-I18)*G6)</f>
        <v>10100.800000000001</v>
      </c>
      <c r="J19" s="20"/>
    </row>
    <row r="20" spans="2:10" ht="29.4" customHeight="1" x14ac:dyDescent="0.3">
      <c r="B20" s="53" t="s">
        <v>35</v>
      </c>
      <c r="C20" s="28" t="s">
        <v>40</v>
      </c>
      <c r="D20" s="25" t="s">
        <v>28</v>
      </c>
      <c r="E20" s="23" t="s">
        <v>19</v>
      </c>
      <c r="F20" s="23" t="s">
        <v>12</v>
      </c>
      <c r="G20" s="23" t="s">
        <v>38</v>
      </c>
      <c r="H20" s="23" t="s">
        <v>39</v>
      </c>
      <c r="I20" s="23" t="s">
        <v>7</v>
      </c>
      <c r="J20" s="24" t="s">
        <v>33</v>
      </c>
    </row>
    <row r="21" spans="2:10" ht="15.6" x14ac:dyDescent="0.3">
      <c r="B21" s="53"/>
      <c r="C21" s="26" t="s">
        <v>46</v>
      </c>
      <c r="D21" s="22" t="s">
        <v>34</v>
      </c>
      <c r="E21" s="21">
        <v>-2</v>
      </c>
      <c r="F21" s="21">
        <v>-1</v>
      </c>
      <c r="G21" s="21">
        <v>7</v>
      </c>
      <c r="H21" s="21">
        <v>13</v>
      </c>
      <c r="I21" s="21">
        <v>14</v>
      </c>
      <c r="J21" s="22">
        <v>98</v>
      </c>
    </row>
    <row r="22" spans="2:10" x14ac:dyDescent="0.3">
      <c r="B22" s="54"/>
      <c r="C22" s="27">
        <v>0</v>
      </c>
      <c r="D22" s="18" t="s">
        <v>29</v>
      </c>
      <c r="E22" s="17">
        <f>C22+((F21-E21)*G10)</f>
        <v>52.8</v>
      </c>
      <c r="F22" s="17">
        <f>E22+((G21-F21)*(G9))</f>
        <v>475.2</v>
      </c>
      <c r="G22" s="17">
        <f>F22+((H21-G21)*G8)</f>
        <v>519.08571428571429</v>
      </c>
      <c r="H22" s="17">
        <f>G22+((I21-H21)*(G7+G8))</f>
        <v>598.66352941176467</v>
      </c>
      <c r="I22" s="17">
        <f>H22+((J21-I21)*G7)</f>
        <v>6668.8</v>
      </c>
      <c r="J22" s="18"/>
    </row>
  </sheetData>
  <mergeCells count="4">
    <mergeCell ref="B1:G1"/>
    <mergeCell ref="B16:J16"/>
    <mergeCell ref="B17:B19"/>
    <mergeCell ref="B20:B2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A3126-0FAF-4B1F-959E-C5744918B8CC}">
  <dimension ref="B1:AH38"/>
  <sheetViews>
    <sheetView topLeftCell="F1" zoomScale="60" workbookViewId="0">
      <selection activeCell="Z15" sqref="Z15"/>
    </sheetView>
  </sheetViews>
  <sheetFormatPr defaultRowHeight="14.4" x14ac:dyDescent="0.3"/>
  <cols>
    <col min="2" max="2" width="13.33203125" customWidth="1"/>
    <col min="3" max="3" width="25" bestFit="1" customWidth="1"/>
    <col min="4" max="4" width="10.33203125" customWidth="1"/>
    <col min="5" max="8" width="8.77734375" customWidth="1"/>
    <col min="9" max="9" width="29.6640625" customWidth="1"/>
    <col min="10" max="10" width="25.21875" bestFit="1" customWidth="1"/>
    <col min="11" max="11" width="8.77734375" customWidth="1"/>
    <col min="13" max="13" width="13.21875" bestFit="1" customWidth="1"/>
    <col min="14" max="14" width="13.21875" customWidth="1"/>
    <col min="15" max="15" width="14.88671875" customWidth="1"/>
    <col min="16" max="16" width="10.44140625" customWidth="1"/>
    <col min="18" max="25" width="2.77734375" customWidth="1"/>
    <col min="26" max="26" width="5.44140625" customWidth="1"/>
    <col min="27" max="27" width="30.77734375" bestFit="1" customWidth="1"/>
    <col min="28" max="28" width="25.21875" bestFit="1" customWidth="1"/>
    <col min="31" max="31" width="12.77734375" bestFit="1" customWidth="1"/>
  </cols>
  <sheetData>
    <row r="1" spans="2:34" ht="15.6" x14ac:dyDescent="0.35">
      <c r="I1" s="39" t="s">
        <v>63</v>
      </c>
      <c r="J1" s="39">
        <v>10</v>
      </c>
      <c r="AA1" s="39" t="s">
        <v>63</v>
      </c>
      <c r="AB1" s="39">
        <v>20</v>
      </c>
    </row>
    <row r="2" spans="2:34" x14ac:dyDescent="0.3">
      <c r="I2" s="45" t="s">
        <v>64</v>
      </c>
      <c r="N2" t="s">
        <v>78</v>
      </c>
      <c r="AA2" s="40" t="s">
        <v>64</v>
      </c>
      <c r="AF2" t="s">
        <v>78</v>
      </c>
    </row>
    <row r="3" spans="2:34" ht="15.6" x14ac:dyDescent="0.35">
      <c r="B3" s="37" t="s">
        <v>0</v>
      </c>
      <c r="C3" s="37" t="s">
        <v>1</v>
      </c>
      <c r="D3" s="37" t="s">
        <v>61</v>
      </c>
      <c r="E3" s="37" t="s">
        <v>60</v>
      </c>
      <c r="F3" s="37" t="s">
        <v>18</v>
      </c>
      <c r="G3" s="37" t="s">
        <v>2</v>
      </c>
      <c r="I3" s="43" t="s">
        <v>0</v>
      </c>
      <c r="J3" s="43" t="s">
        <v>1</v>
      </c>
      <c r="K3" s="43" t="s">
        <v>61</v>
      </c>
      <c r="L3" s="43" t="s">
        <v>60</v>
      </c>
      <c r="M3" s="43" t="s">
        <v>18</v>
      </c>
      <c r="N3" s="43" t="s">
        <v>2</v>
      </c>
      <c r="O3" s="44"/>
      <c r="P3" s="44"/>
      <c r="AA3" s="43" t="s">
        <v>0</v>
      </c>
      <c r="AB3" s="43" t="s">
        <v>1</v>
      </c>
      <c r="AC3" s="43" t="s">
        <v>61</v>
      </c>
      <c r="AD3" s="43" t="s">
        <v>60</v>
      </c>
      <c r="AE3" s="43" t="s">
        <v>18</v>
      </c>
      <c r="AF3" s="43" t="s">
        <v>2</v>
      </c>
      <c r="AG3" s="44"/>
      <c r="AH3" s="44"/>
    </row>
    <row r="4" spans="2:34" x14ac:dyDescent="0.3">
      <c r="B4" s="37" t="s">
        <v>65</v>
      </c>
      <c r="C4" s="37" t="s">
        <v>24</v>
      </c>
      <c r="D4" s="37">
        <v>73</v>
      </c>
      <c r="E4" s="37">
        <v>93</v>
      </c>
      <c r="F4" s="37">
        <v>324.8</v>
      </c>
      <c r="G4" s="37">
        <f t="shared" ref="G4:G11" si="0">F4/(E4-D4)</f>
        <v>16.240000000000002</v>
      </c>
      <c r="I4" s="43" t="s">
        <v>65</v>
      </c>
      <c r="J4" s="43" t="s">
        <v>24</v>
      </c>
      <c r="K4" s="43">
        <v>73</v>
      </c>
      <c r="L4" s="43">
        <v>93</v>
      </c>
      <c r="M4" s="43">
        <v>324.8</v>
      </c>
      <c r="N4" s="43">
        <f t="shared" ref="N4:N11" si="1">M4/(L4-K4)</f>
        <v>16.240000000000002</v>
      </c>
      <c r="O4" s="44"/>
      <c r="P4" s="44"/>
      <c r="AA4" s="43" t="s">
        <v>65</v>
      </c>
      <c r="AB4" s="43" t="s">
        <v>24</v>
      </c>
      <c r="AC4" s="43">
        <v>73</v>
      </c>
      <c r="AD4" s="43">
        <v>93</v>
      </c>
      <c r="AE4" s="43">
        <v>324.8</v>
      </c>
      <c r="AF4" s="43">
        <f t="shared" ref="AF4:AF11" si="2">AE4/(AD4-AC4)</f>
        <v>16.240000000000002</v>
      </c>
      <c r="AG4" s="44"/>
      <c r="AH4" s="44"/>
    </row>
    <row r="5" spans="2:34" x14ac:dyDescent="0.3">
      <c r="B5" s="37" t="s">
        <v>66</v>
      </c>
      <c r="C5" s="37" t="s">
        <v>3</v>
      </c>
      <c r="D5" s="37">
        <v>63</v>
      </c>
      <c r="E5" s="37">
        <v>78</v>
      </c>
      <c r="F5" s="37">
        <v>3304</v>
      </c>
      <c r="G5" s="37">
        <f t="shared" si="0"/>
        <v>220.26666666666668</v>
      </c>
      <c r="I5" s="43" t="s">
        <v>66</v>
      </c>
      <c r="J5" s="43" t="s">
        <v>3</v>
      </c>
      <c r="K5" s="43">
        <v>63</v>
      </c>
      <c r="L5" s="43">
        <v>78</v>
      </c>
      <c r="M5" s="43">
        <v>3304</v>
      </c>
      <c r="N5" s="43">
        <f t="shared" si="1"/>
        <v>220.26666666666668</v>
      </c>
      <c r="O5" s="44"/>
      <c r="P5" s="44"/>
      <c r="AA5" s="43" t="s">
        <v>66</v>
      </c>
      <c r="AB5" s="43" t="s">
        <v>3</v>
      </c>
      <c r="AC5" s="43">
        <v>63</v>
      </c>
      <c r="AD5" s="43">
        <v>78</v>
      </c>
      <c r="AE5" s="43">
        <v>3304</v>
      </c>
      <c r="AF5" s="43">
        <f t="shared" si="2"/>
        <v>220.26666666666668</v>
      </c>
      <c r="AG5" s="44"/>
      <c r="AH5" s="44"/>
    </row>
    <row r="6" spans="2:34" x14ac:dyDescent="0.3">
      <c r="B6" s="37" t="s">
        <v>67</v>
      </c>
      <c r="C6" s="37" t="s">
        <v>6</v>
      </c>
      <c r="D6" s="37">
        <v>78</v>
      </c>
      <c r="E6" s="37">
        <v>90</v>
      </c>
      <c r="F6" s="37">
        <v>748.8</v>
      </c>
      <c r="G6" s="37">
        <f t="shared" si="0"/>
        <v>62.4</v>
      </c>
      <c r="I6" s="43" t="s">
        <v>67</v>
      </c>
      <c r="J6" s="43" t="s">
        <v>6</v>
      </c>
      <c r="K6" s="43">
        <v>78</v>
      </c>
      <c r="L6" s="43">
        <v>90</v>
      </c>
      <c r="M6" s="43">
        <v>748.8</v>
      </c>
      <c r="N6" s="43">
        <f t="shared" si="1"/>
        <v>62.4</v>
      </c>
      <c r="O6" s="44"/>
      <c r="P6" s="44"/>
      <c r="AA6" s="43" t="s">
        <v>67</v>
      </c>
      <c r="AB6" s="43" t="s">
        <v>6</v>
      </c>
      <c r="AC6" s="43">
        <v>78</v>
      </c>
      <c r="AD6" s="43">
        <v>90</v>
      </c>
      <c r="AE6" s="43">
        <v>748.8</v>
      </c>
      <c r="AF6" s="43">
        <f t="shared" si="2"/>
        <v>62.4</v>
      </c>
      <c r="AG6" s="44"/>
      <c r="AH6" s="44"/>
    </row>
    <row r="7" spans="2:34" x14ac:dyDescent="0.3">
      <c r="B7" s="37" t="s">
        <v>68</v>
      </c>
      <c r="C7" s="37" t="s">
        <v>10</v>
      </c>
      <c r="D7" s="37">
        <v>90</v>
      </c>
      <c r="E7" s="37">
        <v>100</v>
      </c>
      <c r="F7" s="37">
        <v>5723.2</v>
      </c>
      <c r="G7" s="37">
        <f t="shared" si="0"/>
        <v>572.31999999999994</v>
      </c>
      <c r="I7" s="43" t="s">
        <v>68</v>
      </c>
      <c r="J7" s="43" t="s">
        <v>10</v>
      </c>
      <c r="K7" s="43">
        <v>90</v>
      </c>
      <c r="L7" s="43">
        <v>100</v>
      </c>
      <c r="M7" s="43">
        <v>5723.2</v>
      </c>
      <c r="N7" s="43">
        <f t="shared" si="1"/>
        <v>572.31999999999994</v>
      </c>
      <c r="O7" s="44"/>
      <c r="P7" s="44"/>
      <c r="AA7" s="43" t="s">
        <v>68</v>
      </c>
      <c r="AB7" s="43" t="s">
        <v>10</v>
      </c>
      <c r="AC7" s="43">
        <v>90</v>
      </c>
      <c r="AD7" s="43">
        <v>100</v>
      </c>
      <c r="AE7" s="43">
        <v>5723.2</v>
      </c>
      <c r="AF7" s="43">
        <f t="shared" si="2"/>
        <v>572.31999999999994</v>
      </c>
      <c r="AG7" s="44"/>
      <c r="AH7" s="44"/>
    </row>
    <row r="8" spans="2:34" x14ac:dyDescent="0.3">
      <c r="B8" s="37" t="s">
        <v>69</v>
      </c>
      <c r="C8" s="37" t="s">
        <v>8</v>
      </c>
      <c r="D8" s="37">
        <v>98</v>
      </c>
      <c r="E8" s="37">
        <v>13</v>
      </c>
      <c r="F8" s="37">
        <v>-6142.4</v>
      </c>
      <c r="G8" s="37">
        <f t="shared" si="0"/>
        <v>72.263529411764708</v>
      </c>
      <c r="I8" s="43" t="s">
        <v>69</v>
      </c>
      <c r="J8" s="43" t="s">
        <v>8</v>
      </c>
      <c r="K8" s="43">
        <f>98-J1</f>
        <v>88</v>
      </c>
      <c r="L8" s="43">
        <f>13-J1</f>
        <v>3</v>
      </c>
      <c r="M8" s="43">
        <v>-6142.4</v>
      </c>
      <c r="N8" s="43">
        <f t="shared" si="1"/>
        <v>72.263529411764708</v>
      </c>
      <c r="O8" s="44"/>
      <c r="P8" s="44"/>
      <c r="AA8" s="43" t="s">
        <v>69</v>
      </c>
      <c r="AB8" s="43" t="s">
        <v>8</v>
      </c>
      <c r="AC8" s="43">
        <f>98-AB1</f>
        <v>78</v>
      </c>
      <c r="AD8" s="43">
        <f>13-AB1</f>
        <v>-7</v>
      </c>
      <c r="AE8" s="43">
        <v>-6142.4</v>
      </c>
      <c r="AF8" s="43">
        <f t="shared" si="2"/>
        <v>72.263529411764708</v>
      </c>
      <c r="AG8" s="44"/>
      <c r="AH8" s="44"/>
    </row>
    <row r="9" spans="2:34" x14ac:dyDescent="0.3">
      <c r="B9" s="37" t="s">
        <v>70</v>
      </c>
      <c r="C9" s="37" t="s">
        <v>13</v>
      </c>
      <c r="D9" s="37">
        <v>14</v>
      </c>
      <c r="E9" s="37">
        <v>7</v>
      </c>
      <c r="F9" s="37">
        <v>-51.2</v>
      </c>
      <c r="G9" s="37">
        <f t="shared" si="0"/>
        <v>7.3142857142857149</v>
      </c>
      <c r="I9" s="43" t="s">
        <v>70</v>
      </c>
      <c r="J9" s="43" t="s">
        <v>13</v>
      </c>
      <c r="K9" s="43">
        <f>14-J1</f>
        <v>4</v>
      </c>
      <c r="L9" s="43">
        <f>7-J1</f>
        <v>-3</v>
      </c>
      <c r="M9" s="43">
        <v>-51.2</v>
      </c>
      <c r="N9" s="43">
        <f t="shared" si="1"/>
        <v>7.3142857142857149</v>
      </c>
      <c r="O9" s="44"/>
      <c r="P9" s="44"/>
      <c r="AA9" s="43" t="s">
        <v>70</v>
      </c>
      <c r="AB9" s="43" t="s">
        <v>13</v>
      </c>
      <c r="AC9" s="43">
        <f>14-AB1</f>
        <v>-6</v>
      </c>
      <c r="AD9" s="43">
        <f>7-AB1</f>
        <v>-13</v>
      </c>
      <c r="AE9" s="43">
        <v>-51.2</v>
      </c>
      <c r="AF9" s="43">
        <f t="shared" si="2"/>
        <v>7.3142857142857149</v>
      </c>
      <c r="AG9" s="44"/>
      <c r="AH9" s="44"/>
    </row>
    <row r="10" spans="2:34" x14ac:dyDescent="0.3">
      <c r="B10" s="37" t="s">
        <v>71</v>
      </c>
      <c r="C10" s="37" t="s">
        <v>14</v>
      </c>
      <c r="D10" s="37">
        <v>7</v>
      </c>
      <c r="E10" s="37">
        <v>-1</v>
      </c>
      <c r="F10" s="37">
        <f>-422.4</f>
        <v>-422.4</v>
      </c>
      <c r="G10" s="37">
        <f t="shared" si="0"/>
        <v>52.8</v>
      </c>
      <c r="I10" s="43" t="s">
        <v>71</v>
      </c>
      <c r="J10" s="43" t="s">
        <v>14</v>
      </c>
      <c r="K10" s="43">
        <f>7-J1</f>
        <v>-3</v>
      </c>
      <c r="L10" s="43">
        <f>-1-J1</f>
        <v>-11</v>
      </c>
      <c r="M10" s="43">
        <f>-422.4</f>
        <v>-422.4</v>
      </c>
      <c r="N10" s="43">
        <f t="shared" si="1"/>
        <v>52.8</v>
      </c>
      <c r="O10" s="44"/>
      <c r="P10" s="44"/>
      <c r="AA10" s="43" t="s">
        <v>71</v>
      </c>
      <c r="AB10" s="43" t="s">
        <v>14</v>
      </c>
      <c r="AC10" s="43">
        <f>7-AB1</f>
        <v>-13</v>
      </c>
      <c r="AD10" s="43">
        <f>-1-AB1</f>
        <v>-21</v>
      </c>
      <c r="AE10" s="43">
        <f>-422.4</f>
        <v>-422.4</v>
      </c>
      <c r="AF10" s="43">
        <f t="shared" si="2"/>
        <v>52.8</v>
      </c>
      <c r="AG10" s="44"/>
      <c r="AH10" s="44"/>
    </row>
    <row r="11" spans="2:34" x14ac:dyDescent="0.3">
      <c r="B11" s="37" t="s">
        <v>72</v>
      </c>
      <c r="C11" s="37" t="s">
        <v>15</v>
      </c>
      <c r="D11" s="37">
        <v>-1</v>
      </c>
      <c r="E11" s="37">
        <v>-2</v>
      </c>
      <c r="F11" s="37">
        <f>-52.8</f>
        <v>-52.8</v>
      </c>
      <c r="G11" s="37">
        <f t="shared" si="0"/>
        <v>52.8</v>
      </c>
      <c r="I11" s="43" t="s">
        <v>72</v>
      </c>
      <c r="J11" s="43" t="s">
        <v>15</v>
      </c>
      <c r="K11" s="43">
        <f>-1-J1</f>
        <v>-11</v>
      </c>
      <c r="L11" s="43">
        <f>-2-J1</f>
        <v>-12</v>
      </c>
      <c r="M11" s="43">
        <f>-52.8</f>
        <v>-52.8</v>
      </c>
      <c r="N11" s="43">
        <f t="shared" si="1"/>
        <v>52.8</v>
      </c>
      <c r="O11" s="44"/>
      <c r="P11" s="44"/>
      <c r="AA11" s="43" t="s">
        <v>72</v>
      </c>
      <c r="AB11" s="43" t="s">
        <v>15</v>
      </c>
      <c r="AC11" s="43">
        <f>-1-AB1</f>
        <v>-21</v>
      </c>
      <c r="AD11" s="43">
        <f>-2-AB1</f>
        <v>-22</v>
      </c>
      <c r="AE11" s="43">
        <f>-52.8</f>
        <v>-52.8</v>
      </c>
      <c r="AF11" s="43">
        <f t="shared" si="2"/>
        <v>52.8</v>
      </c>
      <c r="AG11" s="44"/>
      <c r="AH11" s="44"/>
    </row>
    <row r="14" spans="2:34" ht="15.6" x14ac:dyDescent="0.35">
      <c r="C14" s="41" t="s">
        <v>84</v>
      </c>
      <c r="D14" s="41" t="s">
        <v>81</v>
      </c>
      <c r="I14" s="43" t="s">
        <v>64</v>
      </c>
      <c r="J14" s="44" t="s">
        <v>76</v>
      </c>
      <c r="K14" s="44"/>
      <c r="L14" s="44"/>
      <c r="M14" s="44"/>
      <c r="N14" s="44"/>
      <c r="O14" s="44"/>
      <c r="P14" s="44"/>
      <c r="AA14" s="43" t="s">
        <v>64</v>
      </c>
      <c r="AB14" s="44" t="s">
        <v>76</v>
      </c>
      <c r="AC14" s="44"/>
      <c r="AD14" s="44"/>
      <c r="AE14" s="44"/>
      <c r="AF14" s="44"/>
      <c r="AG14" s="44"/>
      <c r="AH14" s="44"/>
    </row>
    <row r="15" spans="2:34" ht="15.6" x14ac:dyDescent="0.35">
      <c r="C15" s="41" t="s">
        <v>83</v>
      </c>
      <c r="D15" s="41">
        <f>P16</f>
        <v>8294.2117647058822</v>
      </c>
      <c r="I15" s="44" t="s">
        <v>73</v>
      </c>
      <c r="J15" s="43" t="s">
        <v>74</v>
      </c>
      <c r="K15" s="44" t="s">
        <v>77</v>
      </c>
      <c r="L15" s="44" t="s">
        <v>75</v>
      </c>
      <c r="M15" s="44" t="s">
        <v>89</v>
      </c>
      <c r="N15" s="44" t="s">
        <v>79</v>
      </c>
      <c r="O15" s="44" t="s">
        <v>80</v>
      </c>
      <c r="P15" s="44" t="s">
        <v>81</v>
      </c>
      <c r="AA15" s="44" t="s">
        <v>73</v>
      </c>
      <c r="AB15" s="43" t="s">
        <v>74</v>
      </c>
      <c r="AC15" s="44" t="s">
        <v>77</v>
      </c>
      <c r="AD15" s="44" t="s">
        <v>75</v>
      </c>
      <c r="AE15" s="44" t="s">
        <v>89</v>
      </c>
      <c r="AF15" s="44" t="s">
        <v>79</v>
      </c>
      <c r="AG15" s="44" t="s">
        <v>80</v>
      </c>
      <c r="AH15" s="44" t="s">
        <v>81</v>
      </c>
    </row>
    <row r="16" spans="2:34" x14ac:dyDescent="0.3">
      <c r="C16" s="41" t="s">
        <v>82</v>
      </c>
      <c r="D16" s="41">
        <f>P38</f>
        <v>4862.2117647058822</v>
      </c>
      <c r="I16" s="44"/>
      <c r="J16" s="44"/>
      <c r="K16" s="44"/>
      <c r="L16" s="44"/>
      <c r="M16" s="44"/>
      <c r="N16" s="44"/>
      <c r="O16" s="44">
        <v>0</v>
      </c>
      <c r="P16" s="44">
        <f>-O28</f>
        <v>8294.2117647058822</v>
      </c>
      <c r="AA16" s="44"/>
      <c r="AB16" s="44"/>
      <c r="AC16" s="44"/>
      <c r="AD16" s="44"/>
      <c r="AE16" s="44"/>
      <c r="AF16" s="44"/>
      <c r="AG16" s="44">
        <v>0</v>
      </c>
      <c r="AH16" s="44">
        <f>-AG26</f>
        <v>9016.8470588235286</v>
      </c>
    </row>
    <row r="17" spans="3:34" x14ac:dyDescent="0.3">
      <c r="I17" s="44">
        <v>1</v>
      </c>
      <c r="J17" s="44">
        <v>100</v>
      </c>
      <c r="K17" s="44">
        <v>93</v>
      </c>
      <c r="L17" s="44">
        <f>J17-K17</f>
        <v>7</v>
      </c>
      <c r="M17" s="43">
        <f>-N7</f>
        <v>-572.31999999999994</v>
      </c>
      <c r="N17" s="44">
        <f>L17*M17</f>
        <v>-4006.24</v>
      </c>
      <c r="O17" s="44"/>
      <c r="P17" s="44"/>
      <c r="AA17" s="44">
        <v>1</v>
      </c>
      <c r="AB17" s="44">
        <v>100</v>
      </c>
      <c r="AC17" s="44">
        <v>93</v>
      </c>
      <c r="AD17" s="44">
        <f>AB17-AC17</f>
        <v>7</v>
      </c>
      <c r="AE17" s="43">
        <f>-AF7</f>
        <v>-572.31999999999994</v>
      </c>
      <c r="AF17" s="44">
        <f>AD17*AE17</f>
        <v>-4006.24</v>
      </c>
      <c r="AG17" s="44"/>
      <c r="AH17" s="44"/>
    </row>
    <row r="18" spans="3:34" x14ac:dyDescent="0.3">
      <c r="C18" s="41" t="s">
        <v>85</v>
      </c>
      <c r="D18" s="41" t="s">
        <v>81</v>
      </c>
      <c r="I18" s="44"/>
      <c r="J18" s="44"/>
      <c r="K18" s="44"/>
      <c r="L18" s="44"/>
      <c r="M18" s="44"/>
      <c r="N18" s="44"/>
      <c r="O18" s="44">
        <f>N17+O16</f>
        <v>-4006.24</v>
      </c>
      <c r="P18" s="44">
        <f>P16+N17</f>
        <v>4287.9717647058824</v>
      </c>
      <c r="AA18" s="44"/>
      <c r="AB18" s="44"/>
      <c r="AC18" s="44"/>
      <c r="AD18" s="44"/>
      <c r="AE18" s="44"/>
      <c r="AF18" s="44"/>
      <c r="AG18" s="44">
        <f>AF17+AG16</f>
        <v>-4006.24</v>
      </c>
      <c r="AH18" s="44">
        <f>AH16+AF17</f>
        <v>5010.6070588235289</v>
      </c>
    </row>
    <row r="19" spans="3:34" x14ac:dyDescent="0.3">
      <c r="C19" s="41" t="s">
        <v>86</v>
      </c>
      <c r="D19" s="41">
        <f>AH16</f>
        <v>9016.8470588235286</v>
      </c>
      <c r="I19" s="44">
        <v>2</v>
      </c>
      <c r="J19" s="44">
        <v>93</v>
      </c>
      <c r="K19" s="44">
        <v>90</v>
      </c>
      <c r="L19" s="44">
        <f t="shared" ref="L19" si="3">J19-K19</f>
        <v>3</v>
      </c>
      <c r="M19" s="43">
        <f>-(N7+N4)</f>
        <v>-588.55999999999995</v>
      </c>
      <c r="N19" s="44">
        <f t="shared" ref="N19" si="4">L19*M19</f>
        <v>-1765.6799999999998</v>
      </c>
      <c r="O19" s="44"/>
      <c r="P19" s="44"/>
      <c r="AA19" s="44">
        <v>2</v>
      </c>
      <c r="AB19" s="44">
        <v>93</v>
      </c>
      <c r="AC19" s="44">
        <v>90</v>
      </c>
      <c r="AD19" s="44">
        <f t="shared" ref="AD19" si="5">AB19-AC19</f>
        <v>3</v>
      </c>
      <c r="AE19" s="43">
        <f>-(AF7+AF4)</f>
        <v>-588.55999999999995</v>
      </c>
      <c r="AF19" s="44">
        <f t="shared" ref="AF19" si="6">AD19*AE19</f>
        <v>-1765.6799999999998</v>
      </c>
      <c r="AG19" s="44"/>
      <c r="AH19" s="44"/>
    </row>
    <row r="20" spans="3:34" x14ac:dyDescent="0.3">
      <c r="C20" s="41" t="s">
        <v>87</v>
      </c>
      <c r="D20" s="41">
        <f>AH36</f>
        <v>5584.8470588235286</v>
      </c>
      <c r="I20" s="44"/>
      <c r="J20" s="44"/>
      <c r="K20" s="44"/>
      <c r="L20" s="44"/>
      <c r="M20" s="44"/>
      <c r="N20" s="44"/>
      <c r="O20" s="44">
        <f>O18+N19</f>
        <v>-5771.92</v>
      </c>
      <c r="P20" s="44">
        <f>P18+N19</f>
        <v>2522.2917647058825</v>
      </c>
      <c r="AA20" s="44"/>
      <c r="AB20" s="44"/>
      <c r="AC20" s="44"/>
      <c r="AD20" s="44"/>
      <c r="AE20" s="44"/>
      <c r="AF20" s="44"/>
      <c r="AG20" s="44">
        <f>AG18+AF19</f>
        <v>-5771.92</v>
      </c>
      <c r="AH20" s="44">
        <f>AH18+AF19</f>
        <v>3244.927058823529</v>
      </c>
    </row>
    <row r="21" spans="3:34" x14ac:dyDescent="0.3">
      <c r="I21" s="44">
        <v>3</v>
      </c>
      <c r="J21" s="44">
        <v>90</v>
      </c>
      <c r="K21" s="44">
        <v>88</v>
      </c>
      <c r="L21" s="44">
        <f>J21-K21</f>
        <v>2</v>
      </c>
      <c r="M21" s="43">
        <f>-(N4+N6)</f>
        <v>-78.64</v>
      </c>
      <c r="N21" s="44">
        <f>L21*M21</f>
        <v>-157.28</v>
      </c>
      <c r="O21" s="44"/>
      <c r="P21" s="44"/>
      <c r="AA21" s="44">
        <v>3</v>
      </c>
      <c r="AB21" s="44">
        <v>90</v>
      </c>
      <c r="AC21" s="44">
        <v>78</v>
      </c>
      <c r="AD21" s="44">
        <f>AB21-AC21</f>
        <v>12</v>
      </c>
      <c r="AE21" s="43">
        <f>-(AF4+AF6)</f>
        <v>-78.64</v>
      </c>
      <c r="AF21" s="44">
        <f>AD21*AE21</f>
        <v>-943.68000000000006</v>
      </c>
      <c r="AG21" s="44"/>
      <c r="AH21" s="44"/>
    </row>
    <row r="22" spans="3:34" x14ac:dyDescent="0.3">
      <c r="I22" s="44"/>
      <c r="J22" s="44"/>
      <c r="K22" s="44"/>
      <c r="L22" s="44"/>
      <c r="M22" s="44"/>
      <c r="N22" s="44"/>
      <c r="O22" s="44">
        <f>O20+N21</f>
        <v>-5929.2</v>
      </c>
      <c r="P22" s="44">
        <f>P20+N21</f>
        <v>2365.0117647058823</v>
      </c>
      <c r="AA22" s="44"/>
      <c r="AB22" s="44"/>
      <c r="AC22" s="44"/>
      <c r="AD22" s="44"/>
      <c r="AE22" s="44"/>
      <c r="AF22" s="44"/>
      <c r="AG22" s="44">
        <f>AF21+AG20</f>
        <v>-6715.6</v>
      </c>
      <c r="AH22" s="44">
        <f>AH20+AF21</f>
        <v>2301.2470588235292</v>
      </c>
    </row>
    <row r="23" spans="3:34" x14ac:dyDescent="0.3">
      <c r="I23" s="44">
        <v>4</v>
      </c>
      <c r="J23" s="44">
        <v>88</v>
      </c>
      <c r="K23" s="44">
        <v>78</v>
      </c>
      <c r="L23" s="44">
        <f>J23-K23</f>
        <v>10</v>
      </c>
      <c r="M23" s="43">
        <f>N8-(N4+N6)</f>
        <v>-6.3764705882352928</v>
      </c>
      <c r="N23" s="44">
        <f>L23*M23</f>
        <v>-63.764705882352928</v>
      </c>
      <c r="O23" s="44"/>
      <c r="P23" s="44"/>
      <c r="AA23" s="44">
        <v>5</v>
      </c>
      <c r="AB23" s="44">
        <v>78</v>
      </c>
      <c r="AC23" s="44">
        <v>73</v>
      </c>
      <c r="AD23" s="44">
        <f t="shared" ref="AD23" si="7">AB23-AC23</f>
        <v>5</v>
      </c>
      <c r="AE23" s="43">
        <f>AF8-(AF5+AF4)</f>
        <v>-164.24313725490197</v>
      </c>
      <c r="AF23" s="44">
        <f>AD23*AE23</f>
        <v>-821.21568627450984</v>
      </c>
      <c r="AG23" s="44"/>
      <c r="AH23" s="44"/>
    </row>
    <row r="24" spans="3:34" x14ac:dyDescent="0.3">
      <c r="I24" s="44"/>
      <c r="J24" s="44"/>
      <c r="K24" s="44"/>
      <c r="L24" s="44"/>
      <c r="M24" s="44"/>
      <c r="N24" s="44"/>
      <c r="O24" s="44">
        <f>O22+N23</f>
        <v>-5992.964705882353</v>
      </c>
      <c r="P24" s="44">
        <f>P22+N23</f>
        <v>2301.2470588235292</v>
      </c>
      <c r="AA24" s="44"/>
      <c r="AB24" s="44"/>
      <c r="AC24" s="44"/>
      <c r="AD24" s="44"/>
      <c r="AE24" s="44"/>
      <c r="AF24" s="44"/>
      <c r="AG24" s="44">
        <f>AF23+AG22</f>
        <v>-7536.81568627451</v>
      </c>
      <c r="AH24" s="44">
        <f>AH22+AF23</f>
        <v>1480.0313725490194</v>
      </c>
    </row>
    <row r="25" spans="3:34" x14ac:dyDescent="0.3">
      <c r="I25" s="44">
        <v>5</v>
      </c>
      <c r="J25" s="44">
        <v>78</v>
      </c>
      <c r="K25" s="44">
        <v>73</v>
      </c>
      <c r="L25" s="44">
        <f t="shared" ref="L25" si="8">J25-K25</f>
        <v>5</v>
      </c>
      <c r="M25" s="43">
        <f>N8-(N5+N4)</f>
        <v>-164.24313725490197</v>
      </c>
      <c r="N25" s="44">
        <f>L25*M25</f>
        <v>-821.21568627450984</v>
      </c>
      <c r="O25" s="44"/>
      <c r="P25" s="44"/>
      <c r="AA25" s="44">
        <v>6</v>
      </c>
      <c r="AB25" s="44">
        <v>73</v>
      </c>
      <c r="AC25" s="44">
        <v>63</v>
      </c>
      <c r="AD25" s="44">
        <f>AB25-AC25</f>
        <v>10</v>
      </c>
      <c r="AE25" s="43">
        <f>AF8-(AF5)</f>
        <v>-148.00313725490196</v>
      </c>
      <c r="AF25" s="44">
        <f>AD25*AE25</f>
        <v>-1480.0313725490196</v>
      </c>
      <c r="AG25" s="44"/>
      <c r="AH25" s="44"/>
    </row>
    <row r="26" spans="3:34" x14ac:dyDescent="0.3">
      <c r="I26" s="44"/>
      <c r="J26" s="44"/>
      <c r="K26" s="44"/>
      <c r="L26" s="44"/>
      <c r="M26" s="44"/>
      <c r="N26" s="44"/>
      <c r="O26" s="44">
        <f>O24+N25</f>
        <v>-6814.1803921568626</v>
      </c>
      <c r="P26" s="44">
        <f>P24+N25</f>
        <v>1480.0313725490194</v>
      </c>
      <c r="AA26" s="44"/>
      <c r="AB26" s="44"/>
      <c r="AC26" s="44"/>
      <c r="AD26" s="44"/>
      <c r="AE26" s="44"/>
      <c r="AF26" s="44"/>
      <c r="AG26" s="44">
        <f>AF25+AG24</f>
        <v>-9016.8470588235286</v>
      </c>
      <c r="AH26" s="44">
        <f>AH24+AF25</f>
        <v>0</v>
      </c>
    </row>
    <row r="27" spans="3:34" x14ac:dyDescent="0.3">
      <c r="I27" s="44">
        <v>6</v>
      </c>
      <c r="J27" s="44">
        <v>73</v>
      </c>
      <c r="K27" s="44">
        <v>63</v>
      </c>
      <c r="L27" s="44">
        <f>J27-K27</f>
        <v>10</v>
      </c>
      <c r="M27" s="43">
        <f>N8-(N5)</f>
        <v>-148.00313725490196</v>
      </c>
      <c r="N27" s="44">
        <f>L27*M27</f>
        <v>-1480.0313725490196</v>
      </c>
      <c r="O27" s="44"/>
      <c r="P27" s="44"/>
      <c r="AA27" s="44">
        <v>7</v>
      </c>
      <c r="AB27" s="44">
        <v>63</v>
      </c>
      <c r="AC27" s="44">
        <v>-6</v>
      </c>
      <c r="AD27" s="44">
        <f>AB27-AC27</f>
        <v>69</v>
      </c>
      <c r="AE27" s="43">
        <f>AF8</f>
        <v>72.263529411764708</v>
      </c>
      <c r="AF27" s="44">
        <f>AD27*AE27</f>
        <v>4986.1835294117645</v>
      </c>
      <c r="AG27" s="44"/>
      <c r="AH27" s="44"/>
    </row>
    <row r="28" spans="3:34" x14ac:dyDescent="0.3">
      <c r="I28" s="44"/>
      <c r="J28" s="44"/>
      <c r="K28" s="44"/>
      <c r="L28" s="44"/>
      <c r="M28" s="44"/>
      <c r="N28" s="44"/>
      <c r="O28" s="44">
        <f>O26+N27</f>
        <v>-8294.2117647058822</v>
      </c>
      <c r="P28" s="44">
        <f>P26+N27</f>
        <v>0</v>
      </c>
      <c r="AA28" s="44"/>
      <c r="AB28" s="44"/>
      <c r="AC28" s="44"/>
      <c r="AD28" s="44"/>
      <c r="AE28" s="44"/>
      <c r="AF28" s="44"/>
      <c r="AG28" s="44">
        <f>AF27+AG26</f>
        <v>-4030.6635294117641</v>
      </c>
      <c r="AH28" s="44">
        <f>AH26+AF27</f>
        <v>4986.1835294117645</v>
      </c>
    </row>
    <row r="29" spans="3:34" x14ac:dyDescent="0.3">
      <c r="I29" s="44">
        <v>7</v>
      </c>
      <c r="J29" s="44">
        <v>63</v>
      </c>
      <c r="K29" s="44">
        <v>4</v>
      </c>
      <c r="L29" s="44">
        <f>J29-K29</f>
        <v>59</v>
      </c>
      <c r="M29" s="43">
        <f>N8</f>
        <v>72.263529411764708</v>
      </c>
      <c r="N29" s="44">
        <f>L29*M29</f>
        <v>4263.5482352941181</v>
      </c>
      <c r="O29" s="44"/>
      <c r="P29" s="44"/>
      <c r="AA29" s="44">
        <v>8</v>
      </c>
      <c r="AB29" s="44">
        <v>-6</v>
      </c>
      <c r="AC29" s="44">
        <v>-7</v>
      </c>
      <c r="AD29" s="44">
        <f>AB29-AC29</f>
        <v>1</v>
      </c>
      <c r="AE29" s="43">
        <f>AF8+AF9</f>
        <v>79.577815126050425</v>
      </c>
      <c r="AF29" s="44">
        <f>AD29*AE29</f>
        <v>79.577815126050425</v>
      </c>
      <c r="AG29" s="44"/>
      <c r="AH29" s="44"/>
    </row>
    <row r="30" spans="3:34" x14ac:dyDescent="0.3">
      <c r="I30" s="44"/>
      <c r="J30" s="44"/>
      <c r="K30" s="44"/>
      <c r="L30" s="44"/>
      <c r="M30" s="44"/>
      <c r="N30" s="44"/>
      <c r="O30" s="44">
        <f>O28+N29</f>
        <v>-4030.6635294117641</v>
      </c>
      <c r="P30" s="44">
        <f>P28+N29</f>
        <v>4263.5482352941181</v>
      </c>
      <c r="AA30" s="44"/>
      <c r="AB30" s="44"/>
      <c r="AC30" s="44"/>
      <c r="AD30" s="44"/>
      <c r="AE30" s="44"/>
      <c r="AF30" s="44"/>
      <c r="AG30" s="44">
        <f>AF29+AG28</f>
        <v>-3951.0857142857135</v>
      </c>
      <c r="AH30" s="44">
        <f>AH28+AF29</f>
        <v>5065.7613445378147</v>
      </c>
    </row>
    <row r="31" spans="3:34" x14ac:dyDescent="0.3">
      <c r="I31" s="44">
        <v>8</v>
      </c>
      <c r="J31" s="44">
        <v>4</v>
      </c>
      <c r="K31" s="44">
        <v>3</v>
      </c>
      <c r="L31" s="44">
        <f>J31-K31</f>
        <v>1</v>
      </c>
      <c r="M31" s="43">
        <f>N8+N9</f>
        <v>79.577815126050425</v>
      </c>
      <c r="N31" s="44">
        <f>L31*M31</f>
        <v>79.577815126050425</v>
      </c>
      <c r="O31" s="44"/>
      <c r="P31" s="44"/>
      <c r="AA31" s="44">
        <v>9</v>
      </c>
      <c r="AB31" s="44">
        <v>-7</v>
      </c>
      <c r="AC31" s="44">
        <v>-13</v>
      </c>
      <c r="AD31" s="44">
        <f>AB31-AC31</f>
        <v>6</v>
      </c>
      <c r="AE31" s="43">
        <f>AF9</f>
        <v>7.3142857142857149</v>
      </c>
      <c r="AF31" s="44">
        <f>AD31*AE31</f>
        <v>43.885714285714286</v>
      </c>
      <c r="AG31" s="44"/>
      <c r="AH31" s="44"/>
    </row>
    <row r="32" spans="3:34" x14ac:dyDescent="0.3">
      <c r="I32" s="44"/>
      <c r="J32" s="44"/>
      <c r="K32" s="44"/>
      <c r="L32" s="44"/>
      <c r="M32" s="44"/>
      <c r="N32" s="44"/>
      <c r="O32" s="44">
        <f>O30+N31</f>
        <v>-3951.0857142857135</v>
      </c>
      <c r="P32" s="44">
        <f>P30+N31</f>
        <v>4343.1260504201682</v>
      </c>
      <c r="AA32" s="44"/>
      <c r="AB32" s="44"/>
      <c r="AC32" s="44"/>
      <c r="AD32" s="44"/>
      <c r="AE32" s="44"/>
      <c r="AF32" s="44"/>
      <c r="AG32" s="44">
        <f>AF31+AG30</f>
        <v>-3907.1999999999994</v>
      </c>
      <c r="AH32" s="44">
        <f>AH30+AF31</f>
        <v>5109.6470588235288</v>
      </c>
    </row>
    <row r="33" spans="9:34" x14ac:dyDescent="0.3">
      <c r="I33" s="44">
        <v>9</v>
      </c>
      <c r="J33" s="44">
        <v>3</v>
      </c>
      <c r="K33" s="44">
        <v>-3</v>
      </c>
      <c r="L33" s="44">
        <f>J33-K33</f>
        <v>6</v>
      </c>
      <c r="M33" s="43">
        <f>N9</f>
        <v>7.3142857142857149</v>
      </c>
      <c r="N33" s="44">
        <f>L33*M33</f>
        <v>43.885714285714286</v>
      </c>
      <c r="O33" s="44"/>
      <c r="P33" s="44"/>
      <c r="AA33" s="44">
        <v>10</v>
      </c>
      <c r="AB33" s="44">
        <v>-13</v>
      </c>
      <c r="AC33" s="44">
        <v>-21</v>
      </c>
      <c r="AD33" s="44">
        <f>AB33-AC33</f>
        <v>8</v>
      </c>
      <c r="AE33" s="43">
        <f>AF10</f>
        <v>52.8</v>
      </c>
      <c r="AF33" s="44">
        <f>AD33*AE33</f>
        <v>422.4</v>
      </c>
      <c r="AG33" s="44"/>
      <c r="AH33" s="44"/>
    </row>
    <row r="34" spans="9:34" x14ac:dyDescent="0.3">
      <c r="I34" s="44"/>
      <c r="J34" s="44"/>
      <c r="K34" s="44"/>
      <c r="L34" s="44"/>
      <c r="M34" s="44"/>
      <c r="N34" s="44"/>
      <c r="O34" s="44">
        <f>O32+N33</f>
        <v>-3907.1999999999994</v>
      </c>
      <c r="P34" s="44">
        <f>P32+N33</f>
        <v>4387.0117647058823</v>
      </c>
      <c r="AA34" s="44"/>
      <c r="AB34" s="44"/>
      <c r="AC34" s="44"/>
      <c r="AD34" s="44"/>
      <c r="AE34" s="44"/>
      <c r="AF34" s="44"/>
      <c r="AG34" s="44">
        <f>AF33+AG32</f>
        <v>-3484.7999999999993</v>
      </c>
      <c r="AH34" s="44">
        <f>AH32+AF33</f>
        <v>5532.0470588235285</v>
      </c>
    </row>
    <row r="35" spans="9:34" x14ac:dyDescent="0.3">
      <c r="I35" s="44">
        <v>10</v>
      </c>
      <c r="J35" s="44">
        <v>-3</v>
      </c>
      <c r="K35" s="44">
        <v>-11</v>
      </c>
      <c r="L35" s="44">
        <f>J35-K35</f>
        <v>8</v>
      </c>
      <c r="M35" s="43">
        <f>N10</f>
        <v>52.8</v>
      </c>
      <c r="N35" s="44">
        <f>L35*M35</f>
        <v>422.4</v>
      </c>
      <c r="O35" s="44"/>
      <c r="P35" s="44"/>
      <c r="AA35" s="44">
        <v>11</v>
      </c>
      <c r="AB35" s="44">
        <v>-21</v>
      </c>
      <c r="AC35" s="44">
        <v>-22</v>
      </c>
      <c r="AD35" s="44">
        <f>AB35-AC35</f>
        <v>1</v>
      </c>
      <c r="AE35" s="43">
        <f>AF11</f>
        <v>52.8</v>
      </c>
      <c r="AF35" s="44">
        <f>AD35*AE35</f>
        <v>52.8</v>
      </c>
      <c r="AG35" s="44"/>
      <c r="AH35" s="44"/>
    </row>
    <row r="36" spans="9:34" x14ac:dyDescent="0.3">
      <c r="I36" s="44"/>
      <c r="J36" s="44"/>
      <c r="K36" s="44"/>
      <c r="L36" s="44"/>
      <c r="M36" s="44"/>
      <c r="N36" s="44"/>
      <c r="O36" s="44">
        <f>O34+N35</f>
        <v>-3484.7999999999993</v>
      </c>
      <c r="P36" s="44">
        <f>P34+N35</f>
        <v>4809.411764705882</v>
      </c>
      <c r="AA36" s="44"/>
      <c r="AB36" s="44"/>
      <c r="AC36" s="44"/>
      <c r="AD36" s="44"/>
      <c r="AE36" s="44"/>
      <c r="AF36" s="44"/>
      <c r="AG36" s="44">
        <f>AF35+AG34</f>
        <v>-3431.9999999999991</v>
      </c>
      <c r="AH36" s="44">
        <f>AH34+AF35</f>
        <v>5584.8470588235286</v>
      </c>
    </row>
    <row r="37" spans="9:34" x14ac:dyDescent="0.3">
      <c r="I37" s="44">
        <v>11</v>
      </c>
      <c r="J37" s="44">
        <v>-11</v>
      </c>
      <c r="K37" s="44">
        <v>-12</v>
      </c>
      <c r="L37" s="44">
        <f>J37-K37</f>
        <v>1</v>
      </c>
      <c r="M37" s="43">
        <f>N11</f>
        <v>52.8</v>
      </c>
      <c r="N37" s="44">
        <f>L37*M37</f>
        <v>52.8</v>
      </c>
      <c r="O37" s="44"/>
      <c r="P37" s="44"/>
    </row>
    <row r="38" spans="9:34" x14ac:dyDescent="0.3">
      <c r="I38" s="44"/>
      <c r="J38" s="44"/>
      <c r="K38" s="44"/>
      <c r="L38" s="44"/>
      <c r="M38" s="44"/>
      <c r="N38" s="44"/>
      <c r="O38" s="44">
        <f>O36+N37</f>
        <v>-3431.9999999999991</v>
      </c>
      <c r="P38" s="44">
        <f>P36+N37</f>
        <v>4862.2117647058822</v>
      </c>
    </row>
  </sheetData>
  <phoneticPr fontId="3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 den Haan</dc:creator>
  <cp:lastModifiedBy>Jeanneau Ham</cp:lastModifiedBy>
  <dcterms:created xsi:type="dcterms:W3CDTF">2026-06-15T07:39:30Z</dcterms:created>
  <dcterms:modified xsi:type="dcterms:W3CDTF">2026-06-25T14:26:34Z</dcterms:modified>
</cp:coreProperties>
</file>