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87sLaptop\Downloads\"/>
    </mc:Choice>
  </mc:AlternateContent>
  <xr:revisionPtr revIDLastSave="0" documentId="8_{30439105-9407-4A1B-95DB-CFEDD6B0D01E}" xr6:coauthVersionLast="47" xr6:coauthVersionMax="47" xr10:uidLastSave="{00000000-0000-0000-0000-000000000000}"/>
  <bookViews>
    <workbookView xWindow="-108" yWindow="-108" windowWidth="23256" windowHeight="12576" activeTab="3" xr2:uid="{328F35FA-C0DC-4133-BAE8-72562D7E66D0}"/>
  </bookViews>
  <sheets>
    <sheet name="Sheet1" sheetId="1" r:id="rId1"/>
    <sheet name="Sheet2" sheetId="2" r:id="rId2"/>
    <sheet name="Sheet3" sheetId="4" r:id="rId3"/>
    <sheet name="Sheet4" sheetId="5" r:id="rId4"/>
    <sheet name="Sheet5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11" i="5" l="1" a="1"/>
  <c r="M11" i="5" s="1"/>
  <c r="U11" i="6"/>
  <c r="U12" i="6"/>
  <c r="U13" i="6"/>
  <c r="U14" i="6"/>
  <c r="E12" i="6"/>
  <c r="E15" i="6"/>
  <c r="E11" i="6"/>
  <c r="W12" i="6"/>
  <c r="W13" i="6"/>
  <c r="W14" i="6"/>
  <c r="W15" i="6"/>
  <c r="W11" i="6"/>
  <c r="U19" i="6"/>
  <c r="U20" i="6"/>
  <c r="U21" i="6"/>
  <c r="U18" i="6"/>
  <c r="U17" i="6"/>
  <c r="U15" i="6"/>
  <c r="U6" i="6"/>
  <c r="U7" i="6"/>
  <c r="U8" i="6"/>
  <c r="U9" i="6"/>
  <c r="U5" i="6"/>
  <c r="S18" i="6"/>
  <c r="S19" i="6"/>
  <c r="S20" i="6"/>
  <c r="S21" i="6"/>
  <c r="S17" i="6"/>
  <c r="S12" i="6"/>
  <c r="S13" i="6"/>
  <c r="S14" i="6"/>
  <c r="S15" i="6"/>
  <c r="S11" i="6"/>
  <c r="S6" i="6"/>
  <c r="S7" i="6"/>
  <c r="S8" i="6"/>
  <c r="S9" i="6"/>
  <c r="S5" i="6"/>
  <c r="P12" i="6"/>
  <c r="P13" i="6"/>
  <c r="P14" i="6"/>
  <c r="P15" i="6"/>
  <c r="P11" i="6"/>
  <c r="N18" i="6"/>
  <c r="N19" i="6"/>
  <c r="N20" i="6"/>
  <c r="N21" i="6"/>
  <c r="N17" i="6"/>
  <c r="N12" i="6"/>
  <c r="N13" i="6"/>
  <c r="N14" i="6"/>
  <c r="N15" i="6"/>
  <c r="N11" i="6"/>
  <c r="N6" i="6"/>
  <c r="N7" i="6"/>
  <c r="N8" i="6"/>
  <c r="N9" i="6"/>
  <c r="N5" i="6"/>
  <c r="L18" i="6"/>
  <c r="L19" i="6"/>
  <c r="L20" i="6"/>
  <c r="L21" i="6"/>
  <c r="L17" i="6"/>
  <c r="L12" i="6"/>
  <c r="L13" i="6"/>
  <c r="L14" i="6"/>
  <c r="L15" i="6"/>
  <c r="L11" i="6"/>
  <c r="L6" i="6"/>
  <c r="L7" i="6"/>
  <c r="L8" i="6"/>
  <c r="L9" i="6"/>
  <c r="L5" i="6"/>
  <c r="I12" i="6"/>
  <c r="I13" i="6"/>
  <c r="I14" i="6"/>
  <c r="I15" i="6"/>
  <c r="I11" i="6"/>
  <c r="G18" i="6"/>
  <c r="G19" i="6"/>
  <c r="G20" i="6"/>
  <c r="G21" i="6"/>
  <c r="G17" i="6"/>
  <c r="G12" i="6"/>
  <c r="G13" i="6"/>
  <c r="G14" i="6"/>
  <c r="G15" i="6"/>
  <c r="G6" i="6"/>
  <c r="G7" i="6"/>
  <c r="G8" i="6"/>
  <c r="G9" i="6"/>
  <c r="G5" i="6"/>
  <c r="G11" i="6"/>
  <c r="E6" i="6"/>
  <c r="E7" i="6"/>
  <c r="E8" i="6"/>
  <c r="E9" i="6"/>
  <c r="E18" i="6"/>
  <c r="E19" i="6"/>
  <c r="E20" i="6"/>
  <c r="E21" i="6"/>
  <c r="E17" i="6"/>
  <c r="E13" i="6"/>
  <c r="E14" i="6"/>
  <c r="E5" i="6"/>
  <c r="W6" i="6"/>
  <c r="W7" i="6"/>
  <c r="W8" i="6"/>
  <c r="W9" i="6"/>
  <c r="W17" i="6"/>
  <c r="W18" i="6"/>
  <c r="W19" i="6"/>
  <c r="W20" i="6"/>
  <c r="W21" i="6"/>
  <c r="W5" i="6"/>
  <c r="P17" i="6"/>
  <c r="P18" i="6"/>
  <c r="P19" i="6"/>
  <c r="P20" i="6"/>
  <c r="P21" i="6"/>
  <c r="P6" i="6"/>
  <c r="P7" i="6"/>
  <c r="P8" i="6"/>
  <c r="P9" i="6"/>
  <c r="P5" i="6"/>
  <c r="I6" i="6"/>
  <c r="I7" i="6"/>
  <c r="I8" i="6"/>
  <c r="I9" i="6"/>
  <c r="I17" i="6"/>
  <c r="I18" i="6"/>
  <c r="I19" i="6"/>
  <c r="I20" i="6"/>
  <c r="I21" i="6"/>
  <c r="I5" i="6"/>
  <c r="H4" i="2" l="1"/>
  <c r="H5" i="2"/>
  <c r="H6" i="2"/>
  <c r="H7" i="2"/>
  <c r="H8" i="2"/>
  <c r="H9" i="2"/>
  <c r="H10" i="2"/>
  <c r="H3" i="2"/>
  <c r="M27" i="4"/>
  <c r="M25" i="4"/>
  <c r="O24" i="5"/>
  <c r="Q15" i="5"/>
  <c r="Q16" i="5" s="1"/>
  <c r="Q17" i="5" s="1"/>
  <c r="Q18" i="5" s="1"/>
  <c r="Q19" i="5" s="1"/>
  <c r="Q20" i="5" s="1"/>
  <c r="Q21" i="5" s="1"/>
  <c r="Q22" i="5" s="1"/>
  <c r="Q23" i="5" s="1"/>
  <c r="Q24" i="5" s="1"/>
  <c r="P16" i="5"/>
  <c r="P17" i="5" s="1"/>
  <c r="P18" i="5" s="1"/>
  <c r="P19" i="5" s="1"/>
  <c r="P20" i="5" s="1"/>
  <c r="P21" i="5" s="1"/>
  <c r="P22" i="5" s="1"/>
  <c r="P23" i="5" s="1"/>
  <c r="O16" i="5"/>
  <c r="O17" i="5"/>
  <c r="O18" i="5"/>
  <c r="O19" i="5"/>
  <c r="O20" i="5"/>
  <c r="O21" i="5"/>
  <c r="O22" i="5"/>
  <c r="O23" i="5"/>
  <c r="O15" i="5"/>
  <c r="P15" i="5" s="1"/>
  <c r="N16" i="5"/>
  <c r="N17" i="5"/>
  <c r="N18" i="5"/>
  <c r="N19" i="5"/>
  <c r="N20" i="5"/>
  <c r="N21" i="5"/>
  <c r="N22" i="5"/>
  <c r="N23" i="5"/>
  <c r="N15" i="5"/>
  <c r="M23" i="5" a="1"/>
  <c r="M23" i="5"/>
  <c r="M22" i="5" a="1"/>
  <c r="M22" i="5"/>
  <c r="M21" i="5" a="1"/>
  <c r="M21" i="5" s="1"/>
  <c r="M20" i="5" a="1"/>
  <c r="M20" i="5"/>
  <c r="M19" i="5" a="1"/>
  <c r="M19" i="5" s="1"/>
  <c r="M18" i="5" a="1"/>
  <c r="M18" i="5" s="1"/>
  <c r="M17" i="5" a="1"/>
  <c r="M17" i="5" s="1"/>
  <c r="M16" i="5" a="1"/>
  <c r="M16" i="5" s="1"/>
  <c r="M15" i="5" a="1"/>
  <c r="M15" i="5" s="1"/>
  <c r="M3" i="5" a="1"/>
  <c r="M3" i="5" s="1"/>
  <c r="M2" i="5" a="1"/>
  <c r="M2" i="5" s="1"/>
  <c r="O2" i="5" s="1"/>
  <c r="N4" i="5"/>
  <c r="N5" i="5"/>
  <c r="N6" i="5"/>
  <c r="N7" i="5"/>
  <c r="N8" i="5"/>
  <c r="O8" i="5" s="1"/>
  <c r="N9" i="5"/>
  <c r="N10" i="5"/>
  <c r="N11" i="5"/>
  <c r="N12" i="5"/>
  <c r="N3" i="5"/>
  <c r="M12" i="5" a="1"/>
  <c r="M12" i="5" s="1"/>
  <c r="M10" i="5" a="1"/>
  <c r="M10" i="5"/>
  <c r="M9" i="5" a="1"/>
  <c r="M9" i="5" s="1"/>
  <c r="M8" i="5" a="1"/>
  <c r="M8" i="5"/>
  <c r="M7" i="5" a="1"/>
  <c r="M7" i="5"/>
  <c r="M6" i="5" a="1"/>
  <c r="M6" i="5" s="1"/>
  <c r="M5" i="5" a="1"/>
  <c r="M5" i="5" s="1"/>
  <c r="M4" i="5" a="1"/>
  <c r="M4" i="5" s="1"/>
  <c r="AD35" i="4"/>
  <c r="AD33" i="4"/>
  <c r="AD31" i="4"/>
  <c r="AD29" i="4"/>
  <c r="AD27" i="4"/>
  <c r="AD25" i="4"/>
  <c r="AD23" i="4"/>
  <c r="AD21" i="4"/>
  <c r="AD19" i="4"/>
  <c r="AD17" i="4"/>
  <c r="AE11" i="4"/>
  <c r="AD11" i="4"/>
  <c r="AC11" i="4"/>
  <c r="AE10" i="4"/>
  <c r="AD10" i="4"/>
  <c r="AC10" i="4"/>
  <c r="AD9" i="4"/>
  <c r="AC9" i="4"/>
  <c r="AD8" i="4"/>
  <c r="AC8" i="4"/>
  <c r="AF7" i="4"/>
  <c r="AE17" i="4" s="1"/>
  <c r="AF6" i="4"/>
  <c r="AF5" i="4"/>
  <c r="AF4" i="4"/>
  <c r="L27" i="4"/>
  <c r="L25" i="4"/>
  <c r="L19" i="4"/>
  <c r="L21" i="4"/>
  <c r="L23" i="4"/>
  <c r="L29" i="4"/>
  <c r="L31" i="4"/>
  <c r="L33" i="4"/>
  <c r="L35" i="4"/>
  <c r="L37" i="4"/>
  <c r="L17" i="4"/>
  <c r="L11" i="4"/>
  <c r="K11" i="4"/>
  <c r="L10" i="4"/>
  <c r="K10" i="4"/>
  <c r="L9" i="4"/>
  <c r="K9" i="4"/>
  <c r="L8" i="4"/>
  <c r="K8" i="4"/>
  <c r="N7" i="4"/>
  <c r="M17" i="4" s="1"/>
  <c r="N6" i="4"/>
  <c r="N5" i="4"/>
  <c r="N4" i="4"/>
  <c r="M11" i="4"/>
  <c r="M10" i="4"/>
  <c r="F11" i="4"/>
  <c r="G11" i="4" s="1"/>
  <c r="F10" i="4"/>
  <c r="G10" i="4" s="1"/>
  <c r="G9" i="4"/>
  <c r="G8" i="4"/>
  <c r="G7" i="4"/>
  <c r="G6" i="4"/>
  <c r="G5" i="4"/>
  <c r="G4" i="4"/>
  <c r="D49" i="1"/>
  <c r="D43" i="1"/>
  <c r="C52" i="1"/>
  <c r="D52" i="1" s="1"/>
  <c r="AD40" i="1" s="1"/>
  <c r="B52" i="1"/>
  <c r="B53" i="1"/>
  <c r="B54" i="1"/>
  <c r="B55" i="1"/>
  <c r="G22" i="2"/>
  <c r="H22" i="2" s="1"/>
  <c r="I22" i="2" s="1"/>
  <c r="B29" i="1"/>
  <c r="D29" i="1" s="1"/>
  <c r="AD4" i="1" s="1"/>
  <c r="B33" i="1"/>
  <c r="D33" i="1" s="1"/>
  <c r="B32" i="1"/>
  <c r="B31" i="1"/>
  <c r="D31" i="1" s="1"/>
  <c r="B30" i="1"/>
  <c r="C33" i="1"/>
  <c r="F22" i="2"/>
  <c r="E22" i="2"/>
  <c r="G7" i="2"/>
  <c r="I19" i="2"/>
  <c r="H19" i="2"/>
  <c r="G19" i="2"/>
  <c r="F19" i="2"/>
  <c r="E19" i="2"/>
  <c r="D26" i="1"/>
  <c r="F11" i="1"/>
  <c r="G11" i="1" s="1"/>
  <c r="F10" i="1"/>
  <c r="G10" i="1" s="1"/>
  <c r="C55" i="1" s="1"/>
  <c r="D55" i="1" s="1"/>
  <c r="G9" i="1"/>
  <c r="C54" i="1" s="1"/>
  <c r="D54" i="1" s="1"/>
  <c r="G8" i="1"/>
  <c r="G7" i="1"/>
  <c r="C32" i="1" s="1"/>
  <c r="G6" i="1"/>
  <c r="C31" i="1" s="1"/>
  <c r="G5" i="1"/>
  <c r="C29" i="1" s="1"/>
  <c r="G4" i="1"/>
  <c r="G4" i="2"/>
  <c r="G3" i="2"/>
  <c r="E13" i="2"/>
  <c r="F13" i="2"/>
  <c r="D13" i="2"/>
  <c r="D15" i="2"/>
  <c r="G5" i="2"/>
  <c r="G6" i="2"/>
  <c r="G8" i="2"/>
  <c r="F9" i="2"/>
  <c r="G15" i="2" s="1"/>
  <c r="G9" i="2"/>
  <c r="F10" i="2"/>
  <c r="G10" i="2"/>
  <c r="M19" i="4" l="1"/>
  <c r="O12" i="5"/>
  <c r="O9" i="5"/>
  <c r="O7" i="5"/>
  <c r="O6" i="5"/>
  <c r="O10" i="5"/>
  <c r="O4" i="5"/>
  <c r="O5" i="5"/>
  <c r="O3" i="5"/>
  <c r="O11" i="5"/>
  <c r="AE21" i="4"/>
  <c r="AF21" i="4" s="1"/>
  <c r="M21" i="4"/>
  <c r="N21" i="4" s="1"/>
  <c r="AF17" i="4"/>
  <c r="AG18" i="4" s="1"/>
  <c r="N17" i="4"/>
  <c r="O18" i="4" s="1"/>
  <c r="AE19" i="4"/>
  <c r="AF19" i="4"/>
  <c r="AF10" i="4"/>
  <c r="AE33" i="4" s="1"/>
  <c r="AF33" i="4" s="1"/>
  <c r="AF11" i="4"/>
  <c r="AE35" i="4" s="1"/>
  <c r="AF35" i="4" s="1"/>
  <c r="AF8" i="4"/>
  <c r="AF9" i="4"/>
  <c r="AE31" i="4" s="1"/>
  <c r="N27" i="4"/>
  <c r="N19" i="4"/>
  <c r="N8" i="4"/>
  <c r="N9" i="4"/>
  <c r="N10" i="4"/>
  <c r="N11" i="4"/>
  <c r="M37" i="4" s="1"/>
  <c r="N37" i="4" s="1"/>
  <c r="D32" i="1"/>
  <c r="C53" i="1"/>
  <c r="D53" i="1" s="1"/>
  <c r="AD41" i="1" s="1"/>
  <c r="AD42" i="1" s="1"/>
  <c r="AD43" i="1" s="1"/>
  <c r="C30" i="1"/>
  <c r="D30" i="1" s="1"/>
  <c r="AD5" i="1" s="1"/>
  <c r="AD6" i="1" s="1"/>
  <c r="AD7" i="1" s="1"/>
  <c r="AD8" i="1" s="1"/>
  <c r="E15" i="2"/>
  <c r="F15" i="2"/>
  <c r="Q3" i="5" l="1"/>
  <c r="Q4" i="5" s="1"/>
  <c r="Q5" i="5" s="1"/>
  <c r="Q6" i="5" s="1"/>
  <c r="Q7" i="5" s="1"/>
  <c r="Q8" i="5" s="1"/>
  <c r="Q9" i="5" s="1"/>
  <c r="Q10" i="5" s="1"/>
  <c r="Q11" i="5" s="1"/>
  <c r="Q12" i="5" s="1"/>
  <c r="P3" i="5"/>
  <c r="P4" i="5" s="1"/>
  <c r="P5" i="5" s="1"/>
  <c r="P6" i="5" s="1"/>
  <c r="P7" i="5" s="1"/>
  <c r="P8" i="5" s="1"/>
  <c r="P9" i="5" s="1"/>
  <c r="P10" i="5" s="1"/>
  <c r="P11" i="5" s="1"/>
  <c r="P12" i="5" s="1"/>
  <c r="AG20" i="4"/>
  <c r="AG22" i="4" s="1"/>
  <c r="AE29" i="4"/>
  <c r="AE27" i="4"/>
  <c r="AF27" i="4" s="1"/>
  <c r="M31" i="4"/>
  <c r="N31" i="4" s="1"/>
  <c r="M29" i="4"/>
  <c r="N29" i="4" s="1"/>
  <c r="M35" i="4"/>
  <c r="N35" i="4" s="1"/>
  <c r="M33" i="4"/>
  <c r="N33" i="4" s="1"/>
  <c r="AF29" i="4"/>
  <c r="AE25" i="4"/>
  <c r="AF25" i="4" s="1"/>
  <c r="AE23" i="4"/>
  <c r="AF23" i="4" s="1"/>
  <c r="O20" i="4"/>
  <c r="O22" i="4" s="1"/>
  <c r="AF31" i="4"/>
  <c r="M23" i="4"/>
  <c r="N23" i="4" s="1"/>
  <c r="N25" i="4"/>
  <c r="AG24" i="4" l="1"/>
  <c r="AG26" i="4"/>
  <c r="AG28" i="4" s="1"/>
  <c r="AG30" i="4" s="1"/>
  <c r="AG32" i="4" s="1"/>
  <c r="AG34" i="4" s="1"/>
  <c r="AG36" i="4" s="1"/>
  <c r="O24" i="4"/>
  <c r="O26" i="4" s="1"/>
  <c r="O28" i="4" s="1"/>
  <c r="AH16" i="4" l="1"/>
  <c r="O30" i="4"/>
  <c r="O32" i="4" s="1"/>
  <c r="O34" i="4" s="1"/>
  <c r="O36" i="4" s="1"/>
  <c r="O38" i="4" s="1"/>
  <c r="P16" i="4"/>
  <c r="P18" i="4" l="1"/>
  <c r="P20" i="4" s="1"/>
  <c r="P22" i="4" s="1"/>
  <c r="P24" i="4" s="1"/>
  <c r="P26" i="4" s="1"/>
  <c r="P28" i="4" s="1"/>
  <c r="P30" i="4" s="1"/>
  <c r="P32" i="4" s="1"/>
  <c r="P34" i="4" s="1"/>
  <c r="P36" i="4" s="1"/>
  <c r="P38" i="4" s="1"/>
  <c r="D16" i="4" s="1"/>
  <c r="D15" i="4"/>
  <c r="D19" i="4"/>
  <c r="AH18" i="4"/>
  <c r="AH20" i="4" s="1"/>
  <c r="AH22" i="4" s="1"/>
  <c r="AH24" i="4" s="1"/>
  <c r="AH26" i="4" s="1"/>
  <c r="AH28" i="4" l="1"/>
  <c r="AH30" i="4" s="1"/>
  <c r="AH32" i="4" s="1"/>
  <c r="AH34" i="4" s="1"/>
  <c r="AH36" i="4" s="1"/>
  <c r="D20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Kay den Haan</author>
  </authors>
  <commentList>
    <comment ref="AD3" authorId="0" shapeId="0" xr:uid="{1FD85519-0FE0-40DF-8777-44159B59DEB6}">
      <text>
        <r>
          <rPr>
            <b/>
            <sz val="9"/>
            <color indexed="81"/>
            <rFont val="Tahoma"/>
            <family val="2"/>
          </rPr>
          <t>Kay den Haan:</t>
        </r>
        <r>
          <rPr>
            <sz val="9"/>
            <color indexed="81"/>
            <rFont val="Tahoma"/>
            <family val="2"/>
          </rPr>
          <t xml:space="preserve">
I started at 1000 kW. I did this because otherwise the curve would mix in the diagram. I also did this with each curve for the heaters.</t>
        </r>
      </text>
    </comment>
    <comment ref="D19" authorId="0" shapeId="0" xr:uid="{04466716-19AD-48E9-9C00-140899E70DDE}">
      <text>
        <r>
          <rPr>
            <b/>
            <sz val="9"/>
            <color indexed="81"/>
            <rFont val="Tahoma"/>
            <family val="2"/>
          </rPr>
          <t>Kay den Haan: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tc={C8C36D7F-FC1C-4BD6-A03B-2623626B8426}</author>
    <author>tc={75B9E000-C392-4418-A696-6F632F58D6D4}</author>
    <author>tc={CCE59064-E81A-4B4A-8DE0-509E0F6C79A9}</author>
    <author>tc={7DC721AC-D66C-4309-ACA0-792A2D939260}</author>
    <author>tc={461CD2FF-D7B7-442C-A590-13CF35EBA010}</author>
    <author>tc={4310CC2B-9752-47A9-B09E-3490C10B83C2}</author>
  </authors>
  <commentList>
    <comment ref="P15" authorId="0" shapeId="0" xr:uid="{C8C36D7F-FC1C-4BD6-A03B-2623626B842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Biggest negative value, otherwise 0.Adjusted residual heat(sigma delta H*) is adding up the interval enthalpies
</t>
      </text>
    </comment>
    <comment ref="AH15" authorId="1" shapeId="0" xr:uid="{75B9E000-C392-4418-A696-6F632F58D6D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Biggest negative value, otherwise 0.Adjusted residual heat(sigma delta H*) is adding up the interval enthalpies
</t>
      </text>
    </comment>
    <comment ref="P16" authorId="2" shapeId="0" xr:uid="{CCE59064-E81A-4B4A-8DE0-509E0F6C79A9}">
      <text>
        <t>[Threaded comment]
Your version of Excel allows you to read this threaded comment; however, any edits to it will get removed if the file is opened in a newer version of Excel. Learn more: https://go.microsoft.com/fwlink/?linkid=870924
Comment:
    Heating requirement
Reply:
    The most negative number tells us what the required amount of additional hot utility.</t>
      </text>
    </comment>
    <comment ref="AH16" authorId="3" shapeId="0" xr:uid="{7DC721AC-D66C-4309-ACA0-792A2D93926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Heating requirement
</t>
      </text>
    </comment>
    <comment ref="AH36" authorId="4" shapeId="0" xr:uid="{461CD2FF-D7B7-442C-A590-13CF35EBA010}">
      <text>
        <t>[Threaded comment]
Your version of Excel allows you to read this threaded comment; however, any edits to it will get removed if the file is opened in a newer version of Excel. Learn more: https://go.microsoft.com/fwlink/?linkid=870924
Comment:
    Cooling requirement</t>
      </text>
    </comment>
    <comment ref="P38" authorId="5" shapeId="0" xr:uid="{4310CC2B-9752-47A9-B09E-3490C10B83C2}">
      <text>
        <t>[Threaded comment]
Your version of Excel allows you to read this threaded comment; however, any edits to it will get removed if the file is opened in a newer version of Excel. Learn more: https://go.microsoft.com/fwlink/?linkid=870924
Comment:
    Cooling requirement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tc={6C1266D7-C0A3-4DF5-8F2D-32A024C2AF3F}</author>
  </authors>
  <commentList>
    <comment ref="D1" authorId="0" shapeId="0" xr:uid="{6C1266D7-C0A3-4DF5-8F2D-32A024C2AF3F}">
      <text>
        <t>[Threaded comment]
Your version of Excel allows you to read this threaded comment; however, any edits to it will get removed if the file is opened in a newer version of Excel. Learn more: https://go.microsoft.com/fwlink/?linkid=870924
Comment:
    Methode gevonden van YT om overzichtelijker om te gaan met de Heat Capacities.
Reply:
    Alle stromen worden van bijgehouden in welke temperatuur intervallen ze bestaan en daarvan kan de delta cp berekent worden om makkelijk een tabel op te zetten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<sst xmlns="http://schemas.openxmlformats.org/spreadsheetml/2006/main" count="317" uniqueCount="123">
  <si>
    <t>Stream name</t>
  </si>
  <si>
    <t>Type</t>
  </si>
  <si>
    <t>CP(kW/k)</t>
  </si>
  <si>
    <t>Mash converter Heating</t>
  </si>
  <si>
    <t>Heater 2</t>
  </si>
  <si>
    <t xml:space="preserve">Heater 3 </t>
  </si>
  <si>
    <t>Lauter tun heating</t>
  </si>
  <si>
    <t>Cooler 1</t>
  </si>
  <si>
    <t>Wort cooler cooling</t>
  </si>
  <si>
    <t>Heater 4</t>
  </si>
  <si>
    <t>Wort kettle heating</t>
  </si>
  <si>
    <t xml:space="preserve">Cooler 2 </t>
  </si>
  <si>
    <t>Cooler 3</t>
  </si>
  <si>
    <t>Fermentation tank cooling</t>
  </si>
  <si>
    <t>Treatment propylene glycol</t>
  </si>
  <si>
    <t>Treatment 2 propylene glycol</t>
  </si>
  <si>
    <r>
      <t>T</t>
    </r>
    <r>
      <rPr>
        <vertAlign val="subscript"/>
        <sz val="11"/>
        <color theme="1"/>
        <rFont val="Aptos Narrow"/>
        <family val="2"/>
        <scheme val="minor"/>
      </rPr>
      <t>out</t>
    </r>
  </si>
  <si>
    <r>
      <t>T</t>
    </r>
    <r>
      <rPr>
        <vertAlign val="subscript"/>
        <sz val="11"/>
        <color theme="1"/>
        <rFont val="Aptos Narrow"/>
        <family val="2"/>
        <scheme val="minor"/>
      </rPr>
      <t>in</t>
    </r>
  </si>
  <si>
    <r>
      <rPr>
        <sz val="11"/>
        <color theme="1"/>
        <rFont val="Aptos Narrow"/>
        <family val="2"/>
      </rPr>
      <t>∆</t>
    </r>
    <r>
      <rPr>
        <sz val="11"/>
        <color theme="1"/>
        <rFont val="Aptos Narrow"/>
        <family val="2"/>
        <scheme val="minor"/>
      </rPr>
      <t>H(kW)</t>
    </r>
  </si>
  <si>
    <t>Cooler 4</t>
  </si>
  <si>
    <t>T</t>
  </si>
  <si>
    <t>∆H(Begin hot)</t>
  </si>
  <si>
    <t>∆H(begin cold)</t>
  </si>
  <si>
    <t>Heater 1</t>
  </si>
  <si>
    <t>Rice Cooker</t>
  </si>
  <si>
    <t>Attempt 1</t>
  </si>
  <si>
    <t>Attempt 2</t>
  </si>
  <si>
    <t>Data</t>
  </si>
  <si>
    <t>Temperature Discription</t>
  </si>
  <si>
    <t>∆H of step</t>
  </si>
  <si>
    <t>Temperature Point</t>
  </si>
  <si>
    <t>Composite Heater 1 &amp; 3</t>
  </si>
  <si>
    <t>Composite Heater 1 &amp; 4</t>
  </si>
  <si>
    <t>End Temperature</t>
  </si>
  <si>
    <t>Temperature of point</t>
  </si>
  <si>
    <t>Hot Stream</t>
  </si>
  <si>
    <t>Cold Stream</t>
  </si>
  <si>
    <t>Composite Heater 2 &amp; 1</t>
  </si>
  <si>
    <t>Cooler 2</t>
  </si>
  <si>
    <t>Composite Cooler 1 &amp; 2</t>
  </si>
  <si>
    <t>Beginning of graph</t>
  </si>
  <si>
    <t>Delta H interval</t>
  </si>
  <si>
    <t>Begin</t>
  </si>
  <si>
    <t>CP interval</t>
  </si>
  <si>
    <t>Delta T</t>
  </si>
  <si>
    <t>Traject</t>
  </si>
  <si>
    <r>
      <t>∆H</t>
    </r>
    <r>
      <rPr>
        <vertAlign val="subscript"/>
        <sz val="11"/>
        <color theme="1"/>
        <rFont val="Aptos Narrow"/>
        <family val="2"/>
        <scheme val="minor"/>
      </rPr>
      <t>begin</t>
    </r>
  </si>
  <si>
    <t>T(in °C)</t>
  </si>
  <si>
    <t>Hot stream</t>
  </si>
  <si>
    <t>Cold stream</t>
  </si>
  <si>
    <t>63_73</t>
  </si>
  <si>
    <t>73_78</t>
  </si>
  <si>
    <t>78_90</t>
  </si>
  <si>
    <t>90_93</t>
  </si>
  <si>
    <t>93_100</t>
  </si>
  <si>
    <t>98_14</t>
  </si>
  <si>
    <t>7_-2</t>
  </si>
  <si>
    <t>14_13</t>
  </si>
  <si>
    <t>13_7</t>
  </si>
  <si>
    <t>End</t>
  </si>
  <si>
    <r>
      <t>T</t>
    </r>
    <r>
      <rPr>
        <vertAlign val="subscript"/>
        <sz val="11"/>
        <color theme="1"/>
        <rFont val="Aptos Narrow"/>
        <family val="2"/>
        <scheme val="minor"/>
      </rPr>
      <t>out</t>
    </r>
    <r>
      <rPr>
        <sz val="11"/>
        <color theme="1"/>
        <rFont val="Aptos Narrow"/>
        <family val="2"/>
        <scheme val="minor"/>
      </rPr>
      <t xml:space="preserve"> (°C)</t>
    </r>
  </si>
  <si>
    <r>
      <t>T</t>
    </r>
    <r>
      <rPr>
        <vertAlign val="subscript"/>
        <sz val="11"/>
        <color theme="1"/>
        <rFont val="Aptos Narrow"/>
        <family val="2"/>
        <scheme val="minor"/>
      </rPr>
      <t>in</t>
    </r>
    <r>
      <rPr>
        <sz val="11"/>
        <color theme="1"/>
        <rFont val="Aptos Narrow"/>
        <family val="2"/>
        <scheme val="minor"/>
      </rPr>
      <t xml:space="preserve"> (°C)</t>
    </r>
  </si>
  <si>
    <t>T (°C)</t>
  </si>
  <si>
    <r>
      <t>∆T</t>
    </r>
    <r>
      <rPr>
        <vertAlign val="subscript"/>
        <sz val="11"/>
        <color theme="1"/>
        <rFont val="Aptos Narrow"/>
        <family val="2"/>
        <scheme val="minor"/>
      </rPr>
      <t>min</t>
    </r>
    <r>
      <rPr>
        <sz val="11"/>
        <color theme="1"/>
        <rFont val="Aptos Narrow"/>
        <family val="2"/>
        <scheme val="minor"/>
      </rPr>
      <t>(°C)</t>
    </r>
  </si>
  <si>
    <t>Adjusted temperature interval table</t>
  </si>
  <si>
    <t>Cold stream 1</t>
  </si>
  <si>
    <t>Cold stream 2</t>
  </si>
  <si>
    <t>Cold stream 3</t>
  </si>
  <si>
    <t>Cold stream 4</t>
  </si>
  <si>
    <t>Hot stream 1</t>
  </si>
  <si>
    <t>Hot stream 2</t>
  </si>
  <si>
    <t>Hot stream 3</t>
  </si>
  <si>
    <t>Hot stream 4</t>
  </si>
  <si>
    <t>Change the names of the diagrams. Look at what a cold streams.</t>
  </si>
  <si>
    <t>#</t>
  </si>
  <si>
    <t>Ti-1(°C)</t>
  </si>
  <si>
    <t>∆T(°C)</t>
  </si>
  <si>
    <r>
      <t>∆Cp(MW*K^-1) = Cp</t>
    </r>
    <r>
      <rPr>
        <vertAlign val="subscript"/>
        <sz val="11"/>
        <color theme="1"/>
        <rFont val="Aptos Narrow"/>
        <family val="2"/>
        <scheme val="minor"/>
      </rPr>
      <t>hot</t>
    </r>
    <r>
      <rPr>
        <sz val="11"/>
        <color theme="1"/>
        <rFont val="Aptos Narrow"/>
        <family val="2"/>
        <scheme val="minor"/>
      </rPr>
      <t xml:space="preserve"> -Cp</t>
    </r>
    <r>
      <rPr>
        <vertAlign val="subscript"/>
        <sz val="11"/>
        <color theme="1"/>
        <rFont val="Aptos Narrow"/>
        <family val="2"/>
        <scheme val="minor"/>
      </rPr>
      <t xml:space="preserve">cold </t>
    </r>
  </si>
  <si>
    <r>
      <t>T</t>
    </r>
    <r>
      <rPr>
        <vertAlign val="subscript"/>
        <sz val="11"/>
        <color theme="1"/>
        <rFont val="Aptos Narrow"/>
        <family val="2"/>
        <scheme val="minor"/>
      </rPr>
      <t>i</t>
    </r>
  </si>
  <si>
    <t>∆Cp(kW*K^-1)</t>
  </si>
  <si>
    <t>*rounded numbers for CP</t>
  </si>
  <si>
    <t>∆H(kW)</t>
  </si>
  <si>
    <t>Σ∆H(kW)</t>
  </si>
  <si>
    <t>Σ∆H*(kW)</t>
  </si>
  <si>
    <t>Cooling requirement (kW)</t>
  </si>
  <si>
    <t>Heating requirement (kW)</t>
  </si>
  <si>
    <t>∆T= 10(°C)</t>
  </si>
  <si>
    <t>∆T= 20(°C)</t>
  </si>
  <si>
    <t>Heating requirement(kW)</t>
  </si>
  <si>
    <t>Cooling requirement(kW)</t>
  </si>
  <si>
    <t>total</t>
  </si>
  <si>
    <t>Temperature interval</t>
  </si>
  <si>
    <t>Tdif</t>
  </si>
  <si>
    <t>Cptot * Tdif</t>
  </si>
  <si>
    <t>C1</t>
  </si>
  <si>
    <t>C2</t>
  </si>
  <si>
    <t>C3</t>
  </si>
  <si>
    <t>C4</t>
  </si>
  <si>
    <t>H1</t>
  </si>
  <si>
    <t>H2</t>
  </si>
  <si>
    <t>H3</t>
  </si>
  <si>
    <t>H4</t>
  </si>
  <si>
    <t>CP(W/K)</t>
  </si>
  <si>
    <t>total cost index</t>
  </si>
  <si>
    <t>cap cost</t>
  </si>
  <si>
    <t>op cost</t>
  </si>
  <si>
    <t>lp steam, ref 1</t>
  </si>
  <si>
    <t>hot oil, ref 1</t>
  </si>
  <si>
    <t>opcost</t>
  </si>
  <si>
    <t>lp steam, ref 2</t>
  </si>
  <si>
    <t>power(110-109), ref1</t>
  </si>
  <si>
    <t>power (110-109). Ref 2</t>
  </si>
  <si>
    <t>hot oil, ref 2</t>
  </si>
  <si>
    <t>Hot oil, ref 3</t>
  </si>
  <si>
    <t>power (110-109), ref 3</t>
  </si>
  <si>
    <t>Substance</t>
  </si>
  <si>
    <t>=</t>
  </si>
  <si>
    <t>Only utillity</t>
  </si>
  <si>
    <t>Aspen Design</t>
  </si>
  <si>
    <t>Aspen design 2</t>
  </si>
  <si>
    <t>lp steam, ref 3</t>
  </si>
  <si>
    <t>HEN wo. CF</t>
  </si>
  <si>
    <t>HEN w. 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</si>
</sst>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8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5" tint="0.59999389629810485"/>
      <name val="Aptos Narrow"/>
      <family val="2"/>
      <scheme val="minor"/>
    </font>
    <font>
      <sz val="11"/>
      <color theme="4" tint="0.59999389629810485"/>
      <name val="Aptos Narrow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ashed">
        <color indexed="64"/>
      </right>
      <top style="thin">
        <color indexed="64"/>
      </top>
      <bottom/>
      <diagonal/>
    </border>
    <border>
      <left/>
      <right style="dashed">
        <color indexed="64"/>
      </right>
      <top/>
      <bottom/>
      <diagonal/>
    </border>
    <border>
      <left style="thin">
        <color indexed="64"/>
      </left>
      <right style="dashed">
        <color indexed="64"/>
      </right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/>
      <bottom/>
      <diagonal/>
    </border>
    <border>
      <left style="thin">
        <color indexed="64"/>
      </left>
      <right style="dashed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0" fillId="2" borderId="0" xfId="0" applyFill="1"/>
    <xf numFmtId="0" fontId="0" fillId="7" borderId="0" xfId="0" applyFill="1"/>
    <xf numFmtId="0" fontId="0" fillId="3" borderId="3" xfId="0" applyFill="1" applyBorder="1"/>
    <xf numFmtId="0" fontId="0" fillId="3" borderId="4" xfId="0" applyFill="1" applyBorder="1"/>
    <xf numFmtId="0" fontId="0" fillId="3" borderId="0" xfId="0" applyFill="1"/>
    <xf numFmtId="0" fontId="0" fillId="3" borderId="6" xfId="0" applyFill="1" applyBorder="1"/>
    <xf numFmtId="0" fontId="0" fillId="3" borderId="8" xfId="0" applyFill="1" applyBorder="1"/>
    <xf numFmtId="0" fontId="0" fillId="3" borderId="9" xfId="0" applyFill="1" applyBorder="1"/>
    <xf numFmtId="0" fontId="0" fillId="3" borderId="1" xfId="0" applyFill="1" applyBorder="1"/>
    <xf numFmtId="0" fontId="0" fillId="3" borderId="10" xfId="0" applyFill="1" applyBorder="1"/>
    <xf numFmtId="2" fontId="0" fillId="0" borderId="0" xfId="0" applyNumberFormat="1"/>
    <xf numFmtId="0" fontId="0" fillId="2" borderId="11" xfId="0" applyFill="1" applyBorder="1"/>
    <xf numFmtId="0" fontId="0" fillId="2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8" borderId="8" xfId="0" applyFill="1" applyBorder="1"/>
    <xf numFmtId="0" fontId="0" fillId="8" borderId="9" xfId="0" applyFill="1" applyBorder="1"/>
    <xf numFmtId="0" fontId="0" fillId="7" borderId="9" xfId="0" applyFill="1" applyBorder="1"/>
    <xf numFmtId="0" fontId="0" fillId="7" borderId="6" xfId="0" applyFill="1" applyBorder="1"/>
    <xf numFmtId="0" fontId="0" fillId="8" borderId="0" xfId="0" applyFill="1"/>
    <xf numFmtId="0" fontId="0" fillId="8" borderId="6" xfId="0" applyFill="1" applyBorder="1"/>
    <xf numFmtId="0" fontId="0" fillId="8" borderId="16" xfId="0" applyFill="1" applyBorder="1" applyAlignment="1">
      <alignment horizontal="center" vertical="center" wrapText="1"/>
    </xf>
    <xf numFmtId="0" fontId="0" fillId="8" borderId="17" xfId="0" applyFill="1" applyBorder="1" applyAlignment="1">
      <alignment horizontal="center" vertical="center" wrapText="1"/>
    </xf>
    <xf numFmtId="0" fontId="0" fillId="8" borderId="6" xfId="0" applyFill="1" applyBorder="1" applyAlignment="1">
      <alignment horizontal="center" vertical="center" wrapText="1"/>
    </xf>
    <xf numFmtId="0" fontId="0" fillId="5" borderId="18" xfId="0" applyFill="1" applyBorder="1" applyAlignment="1">
      <alignment vertical="center"/>
    </xf>
    <xf numFmtId="0" fontId="0" fillId="5" borderId="19" xfId="0" applyFill="1" applyBorder="1"/>
    <xf numFmtId="0" fontId="0" fillId="6" borderId="10" xfId="0" applyFill="1" applyBorder="1" applyAlignment="1">
      <alignment vertical="center" wrapText="1"/>
    </xf>
    <xf numFmtId="0" fontId="0" fillId="7" borderId="6" xfId="0" applyFill="1" applyBorder="1" applyAlignment="1">
      <alignment horizontal="center" vertical="center" wrapText="1"/>
    </xf>
    <xf numFmtId="0" fontId="0" fillId="7" borderId="8" xfId="0" applyFill="1" applyBorder="1" applyAlignment="1">
      <alignment horizontal="center" vertical="center" wrapText="1"/>
    </xf>
    <xf numFmtId="0" fontId="0" fillId="7" borderId="9" xfId="0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 wrapText="1"/>
    </xf>
    <xf numFmtId="0" fontId="0" fillId="5" borderId="6" xfId="0" applyFill="1" applyBorder="1" applyAlignment="1">
      <alignment vertical="center"/>
    </xf>
    <xf numFmtId="0" fontId="0" fillId="5" borderId="6" xfId="0" applyFill="1" applyBorder="1"/>
    <xf numFmtId="1" fontId="0" fillId="0" borderId="0" xfId="0" applyNumberFormat="1"/>
    <xf numFmtId="1" fontId="0" fillId="9" borderId="0" xfId="0" applyNumberFormat="1" applyFill="1"/>
    <xf numFmtId="1" fontId="0" fillId="3" borderId="0" xfId="0" applyNumberFormat="1" applyFill="1"/>
    <xf numFmtId="1" fontId="0" fillId="10" borderId="0" xfId="0" applyNumberFormat="1" applyFill="1"/>
    <xf numFmtId="0" fontId="0" fillId="11" borderId="0" xfId="0" applyFill="1"/>
    <xf numFmtId="0" fontId="0" fillId="12" borderId="0" xfId="0" applyFill="1"/>
    <xf numFmtId="1" fontId="0" fillId="13" borderId="0" xfId="0" applyNumberFormat="1" applyFill="1"/>
    <xf numFmtId="0" fontId="0" fillId="14" borderId="0" xfId="0" applyFill="1"/>
    <xf numFmtId="1" fontId="0" fillId="14" borderId="0" xfId="0" applyNumberFormat="1" applyFill="1"/>
    <xf numFmtId="0" fontId="0" fillId="15" borderId="0" xfId="0" applyFill="1"/>
    <xf numFmtId="0" fontId="0" fillId="9" borderId="0" xfId="0" applyFill="1"/>
    <xf numFmtId="0" fontId="0" fillId="16" borderId="0" xfId="0" applyFill="1"/>
    <xf numFmtId="0" fontId="0" fillId="19" borderId="0" xfId="0" applyFill="1"/>
    <xf numFmtId="0" fontId="0" fillId="19" borderId="8" xfId="0" applyFill="1" applyBorder="1"/>
    <xf numFmtId="0" fontId="0" fillId="20" borderId="6" xfId="0" applyFill="1" applyBorder="1"/>
    <xf numFmtId="0" fontId="0" fillId="20" borderId="9" xfId="0" applyFill="1" applyBorder="1"/>
    <xf numFmtId="0" fontId="0" fillId="18" borderId="0" xfId="0" applyFill="1"/>
    <xf numFmtId="0" fontId="0" fillId="18" borderId="6" xfId="0" applyFill="1" applyBorder="1"/>
    <xf numFmtId="0" fontId="0" fillId="18" borderId="8" xfId="0" applyFill="1" applyBorder="1"/>
    <xf numFmtId="0" fontId="0" fillId="18" borderId="10" xfId="0" applyFill="1" applyBorder="1"/>
    <xf numFmtId="0" fontId="0" fillId="18" borderId="18" xfId="0" applyFill="1" applyBorder="1"/>
    <xf numFmtId="0" fontId="0" fillId="18" borderId="19" xfId="0" applyFill="1" applyBorder="1"/>
    <xf numFmtId="0" fontId="0" fillId="5" borderId="1" xfId="0" applyFill="1" applyBorder="1"/>
    <xf numFmtId="0" fontId="0" fillId="5" borderId="3" xfId="0" applyFill="1" applyBorder="1"/>
    <xf numFmtId="0" fontId="0" fillId="5" borderId="16" xfId="0" applyFill="1" applyBorder="1"/>
    <xf numFmtId="0" fontId="0" fillId="5" borderId="4" xfId="0" applyFill="1" applyBorder="1"/>
    <xf numFmtId="0" fontId="0" fillId="5" borderId="5" xfId="0" applyFill="1" applyBorder="1"/>
    <xf numFmtId="0" fontId="0" fillId="5" borderId="7" xfId="0" applyFill="1" applyBorder="1"/>
    <xf numFmtId="0" fontId="0" fillId="20" borderId="14" xfId="0" applyFill="1" applyBorder="1"/>
    <xf numFmtId="0" fontId="0" fillId="20" borderId="15" xfId="0" applyFill="1" applyBorder="1"/>
    <xf numFmtId="0" fontId="0" fillId="15" borderId="17" xfId="0" applyFill="1" applyBorder="1"/>
    <xf numFmtId="0" fontId="0" fillId="5" borderId="2" xfId="0" applyFill="1" applyBorder="1"/>
    <xf numFmtId="0" fontId="0" fillId="19" borderId="21" xfId="0" applyFill="1" applyBorder="1"/>
    <xf numFmtId="0" fontId="0" fillId="19" borderId="22" xfId="0" applyFill="1" applyBorder="1"/>
    <xf numFmtId="0" fontId="0" fillId="20" borderId="20" xfId="0" applyFill="1" applyBorder="1"/>
    <xf numFmtId="0" fontId="6" fillId="2" borderId="18" xfId="0" applyFont="1" applyFill="1" applyBorder="1"/>
    <xf numFmtId="0" fontId="6" fillId="2" borderId="0" xfId="0" applyFont="1" applyFill="1"/>
    <xf numFmtId="0" fontId="6" fillId="2" borderId="9" xfId="0" applyFont="1" applyFill="1" applyBorder="1"/>
    <xf numFmtId="0" fontId="7" fillId="17" borderId="0" xfId="0" applyFont="1" applyFill="1"/>
    <xf numFmtId="0" fontId="7" fillId="17" borderId="18" xfId="0" applyFont="1" applyFill="1" applyBorder="1"/>
    <xf numFmtId="0" fontId="0" fillId="5" borderId="0" xfId="0" applyFill="1"/>
    <xf numFmtId="0" fontId="0" fillId="3" borderId="18" xfId="0" applyFill="1" applyBorder="1"/>
    <xf numFmtId="11" fontId="0" fillId="2" borderId="0" xfId="0" applyNumberFormat="1" applyFill="1"/>
    <xf numFmtId="3" fontId="0" fillId="2" borderId="0" xfId="0" applyNumberFormat="1" applyFill="1"/>
    <xf numFmtId="11" fontId="0" fillId="7" borderId="0" xfId="0" applyNumberFormat="1" applyFill="1"/>
    <xf numFmtId="3" fontId="0" fillId="7" borderId="0" xfId="0" applyNumberFormat="1" applyFill="1"/>
    <xf numFmtId="0" fontId="0" fillId="21" borderId="0" xfId="0" applyFill="1"/>
    <xf numFmtId="3" fontId="0" fillId="21" borderId="0" xfId="0" applyNumberFormat="1" applyFill="1"/>
    <xf numFmtId="11" fontId="0" fillId="21" borderId="0" xfId="0" applyNumberFormat="1" applyFill="1"/>
    <xf numFmtId="0" fontId="0" fillId="22" borderId="0" xfId="0" applyFill="1"/>
    <xf numFmtId="3" fontId="0" fillId="22" borderId="0" xfId="0" applyNumberFormat="1" applyFill="1"/>
    <xf numFmtId="11" fontId="0" fillId="22" borderId="0" xfId="0" applyNumberFormat="1" applyFill="1"/>
    <xf numFmtId="3" fontId="0" fillId="0" borderId="0" xfId="0" applyNumberFormat="1"/>
    <xf numFmtId="11" fontId="0" fillId="0" borderId="0" xfId="0" applyNumberFormat="1"/>
    <xf numFmtId="3" fontId="0" fillId="23" borderId="0" xfId="0" applyNumberFormat="1" applyFill="1"/>
    <xf numFmtId="11" fontId="0" fillId="23" borderId="0" xfId="0" applyNumberFormat="1" applyFill="1"/>
    <xf numFmtId="3" fontId="0" fillId="24" borderId="0" xfId="0" applyNumberFormat="1" applyFill="1"/>
    <xf numFmtId="2" fontId="0" fillId="2" borderId="0" xfId="0" applyNumberFormat="1" applyFill="1"/>
    <xf numFmtId="1" fontId="0" fillId="24" borderId="1" xfId="0" applyNumberFormat="1" applyFill="1" applyBorder="1"/>
    <xf numFmtId="0" fontId="0" fillId="4" borderId="1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0" fillId="6" borderId="17" xfId="0" applyFill="1" applyBorder="1" applyAlignment="1">
      <alignment horizontal="center"/>
    </xf>
    <xf numFmtId="0" fontId="0" fillId="6" borderId="10" xfId="0" applyFill="1" applyBorder="1" applyAlignment="1">
      <alignment horizontal="center" vertical="center" wrapText="1"/>
    </xf>
    <xf numFmtId="0" fontId="0" fillId="6" borderId="18" xfId="0" applyFill="1" applyBorder="1" applyAlignment="1">
      <alignment horizontal="center" vertical="center" wrapText="1"/>
    </xf>
    <xf numFmtId="0" fontId="0" fillId="6" borderId="19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1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22" borderId="0" xfId="0" applyFill="1" applyAlignment="1">
      <alignment horizontal="center"/>
    </xf>
    <xf numFmtId="0" fontId="0" fillId="2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Cold</a:t>
            </a:r>
            <a:r>
              <a:rPr lang="en-GB" baseline="0"/>
              <a:t> streams heated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Heater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Sheet1!$D$16:$D$17</c:f>
              <c:numCache>
                <c:formatCode>0</c:formatCode>
                <c:ptCount val="2"/>
                <c:pt idx="0">
                  <c:v>0</c:v>
                </c:pt>
                <c:pt idx="1">
                  <c:v>324.8</c:v>
                </c:pt>
              </c:numCache>
            </c:numRef>
          </c:xVal>
          <c:yVal>
            <c:numRef>
              <c:f>Sheet1!$E$16:$E$17</c:f>
              <c:numCache>
                <c:formatCode>0</c:formatCode>
                <c:ptCount val="2"/>
                <c:pt idx="0">
                  <c:v>73</c:v>
                </c:pt>
                <c:pt idx="1">
                  <c:v>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27-4D6C-9DB8-B91EA282CA18}"/>
            </c:ext>
          </c:extLst>
        </c:ser>
        <c:ser>
          <c:idx val="1"/>
          <c:order val="1"/>
          <c:tx>
            <c:v>Heater 2</c:v>
          </c:tx>
          <c:spPr>
            <a:ln w="19050" cap="rnd">
              <a:solidFill>
                <a:schemeClr val="accent2"/>
              </a:solidFill>
              <a:round/>
              <a:headEnd type="none"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Sheet1!$D$19:$D$20</c:f>
              <c:numCache>
                <c:formatCode>0</c:formatCode>
                <c:ptCount val="2"/>
                <c:pt idx="0">
                  <c:v>100</c:v>
                </c:pt>
                <c:pt idx="1">
                  <c:v>3404</c:v>
                </c:pt>
              </c:numCache>
            </c:numRef>
          </c:xVal>
          <c:yVal>
            <c:numRef>
              <c:f>Sheet1!$E$19:$E$20</c:f>
              <c:numCache>
                <c:formatCode>0</c:formatCode>
                <c:ptCount val="2"/>
                <c:pt idx="0">
                  <c:v>63</c:v>
                </c:pt>
                <c:pt idx="1">
                  <c:v>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127-4D6C-9DB8-B91EA282CA18}"/>
            </c:ext>
          </c:extLst>
        </c:ser>
        <c:ser>
          <c:idx val="2"/>
          <c:order val="2"/>
          <c:tx>
            <c:v>Heater 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Sheet1!$D$22:$D$23</c:f>
              <c:numCache>
                <c:formatCode>0</c:formatCode>
                <c:ptCount val="2"/>
                <c:pt idx="0">
                  <c:v>200</c:v>
                </c:pt>
                <c:pt idx="1">
                  <c:v>948.8</c:v>
                </c:pt>
              </c:numCache>
            </c:numRef>
          </c:xVal>
          <c:yVal>
            <c:numRef>
              <c:f>Sheet1!$E$22:$E$23</c:f>
              <c:numCache>
                <c:formatCode>0</c:formatCode>
                <c:ptCount val="2"/>
                <c:pt idx="0">
                  <c:v>78</c:v>
                </c:pt>
                <c:pt idx="1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127-4D6C-9DB8-B91EA282CA18}"/>
            </c:ext>
          </c:extLst>
        </c:ser>
        <c:ser>
          <c:idx val="3"/>
          <c:order val="3"/>
          <c:tx>
            <c:v>Heater 4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Sheet1!$D$25:$D$26</c:f>
              <c:numCache>
                <c:formatCode>0</c:formatCode>
                <c:ptCount val="2"/>
                <c:pt idx="0">
                  <c:v>300</c:v>
                </c:pt>
                <c:pt idx="1">
                  <c:v>6023.2</c:v>
                </c:pt>
              </c:numCache>
            </c:numRef>
          </c:xVal>
          <c:yVal>
            <c:numRef>
              <c:f>Sheet1!$E$25:$E$26</c:f>
              <c:numCache>
                <c:formatCode>0</c:formatCode>
                <c:ptCount val="2"/>
                <c:pt idx="0">
                  <c:v>90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127-4D6C-9DB8-B91EA282CA18}"/>
            </c:ext>
          </c:extLst>
        </c:ser>
        <c:ser>
          <c:idx val="4"/>
          <c:order val="4"/>
          <c:tx>
            <c:v>Composite curve</c:v>
          </c:tx>
          <c:spPr>
            <a:ln w="19050" cap="rnd">
              <a:solidFill>
                <a:schemeClr val="accent5"/>
              </a:solidFill>
              <a:round/>
              <a:headEnd type="none" w="lg" len="lg"/>
              <a:tailEnd type="triangle" w="lg" len="lg"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Sheet1!$AD$3:$AD$8</c:f>
              <c:numCache>
                <c:formatCode>0</c:formatCode>
                <c:ptCount val="6"/>
                <c:pt idx="0">
                  <c:v>1000</c:v>
                </c:pt>
                <c:pt idx="1">
                  <c:v>3202.666666666667</c:v>
                </c:pt>
                <c:pt idx="2">
                  <c:v>4385.2000000000007</c:v>
                </c:pt>
                <c:pt idx="3">
                  <c:v>5328.880000000001</c:v>
                </c:pt>
                <c:pt idx="4">
                  <c:v>7094.5600000000013</c:v>
                </c:pt>
                <c:pt idx="5">
                  <c:v>11100.800000000001</c:v>
                </c:pt>
              </c:numCache>
            </c:numRef>
          </c:xVal>
          <c:yVal>
            <c:numRef>
              <c:f>Sheet1!$AC$3:$AC$8</c:f>
              <c:numCache>
                <c:formatCode>0</c:formatCode>
                <c:ptCount val="6"/>
                <c:pt idx="0">
                  <c:v>63</c:v>
                </c:pt>
                <c:pt idx="1">
                  <c:v>73</c:v>
                </c:pt>
                <c:pt idx="2">
                  <c:v>78</c:v>
                </c:pt>
                <c:pt idx="3">
                  <c:v>90</c:v>
                </c:pt>
                <c:pt idx="4">
                  <c:v>93</c:v>
                </c:pt>
                <c:pt idx="5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467-4FBD-8CBE-F0A247BE33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5564639"/>
        <c:axId val="1885560799"/>
      </c:scatterChart>
      <c:valAx>
        <c:axId val="1885564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∆H(kW)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885560799"/>
        <c:crosses val="autoZero"/>
        <c:crossBetween val="midCat"/>
      </c:valAx>
      <c:valAx>
        <c:axId val="1885560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T (°C)</a:t>
                </a:r>
                <a:r>
                  <a:rPr lang="en-NL" sz="1000" b="0" i="0" u="none" strike="noStrike" baseline="0">
                    <a:effectLst/>
                  </a:rPr>
                  <a:t>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8855646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Hot</a:t>
            </a:r>
            <a:r>
              <a:rPr lang="en-GB" baseline="0"/>
              <a:t> streams cooled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Cooler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Sheet1!$D$39:$D$40</c:f>
              <c:numCache>
                <c:formatCode>0</c:formatCode>
                <c:ptCount val="2"/>
                <c:pt idx="0">
                  <c:v>0</c:v>
                </c:pt>
                <c:pt idx="1">
                  <c:v>-6142.4</c:v>
                </c:pt>
              </c:numCache>
            </c:numRef>
          </c:xVal>
          <c:yVal>
            <c:numRef>
              <c:f>Sheet1!$E$39:$E$40</c:f>
              <c:numCache>
                <c:formatCode>0</c:formatCode>
                <c:ptCount val="2"/>
                <c:pt idx="0">
                  <c:v>98</c:v>
                </c:pt>
                <c:pt idx="1">
                  <c:v>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86-4600-8649-32BEEAEA3423}"/>
            </c:ext>
          </c:extLst>
        </c:ser>
        <c:ser>
          <c:idx val="1"/>
          <c:order val="1"/>
          <c:tx>
            <c:v>Cooler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Sheet1!$D$42:$D$43</c:f>
              <c:numCache>
                <c:formatCode>0</c:formatCode>
                <c:ptCount val="2"/>
                <c:pt idx="0">
                  <c:v>100</c:v>
                </c:pt>
                <c:pt idx="1">
                  <c:v>48.8</c:v>
                </c:pt>
              </c:numCache>
            </c:numRef>
          </c:xVal>
          <c:yVal>
            <c:numRef>
              <c:f>Sheet1!$E$42:$E$43</c:f>
              <c:numCache>
                <c:formatCode>0</c:formatCode>
                <c:ptCount val="2"/>
                <c:pt idx="0">
                  <c:v>14</c:v>
                </c:pt>
                <c:pt idx="1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786-4600-8649-32BEEAEA3423}"/>
            </c:ext>
          </c:extLst>
        </c:ser>
        <c:ser>
          <c:idx val="2"/>
          <c:order val="2"/>
          <c:tx>
            <c:v>Cooler 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Sheet1!$D$45:$D$46</c:f>
              <c:numCache>
                <c:formatCode>0</c:formatCode>
                <c:ptCount val="2"/>
                <c:pt idx="0">
                  <c:v>200</c:v>
                </c:pt>
                <c:pt idx="1">
                  <c:v>-222.4</c:v>
                </c:pt>
              </c:numCache>
            </c:numRef>
          </c:xVal>
          <c:yVal>
            <c:numRef>
              <c:f>Sheet1!$E$45:$E$46</c:f>
              <c:numCache>
                <c:formatCode>0</c:formatCode>
                <c:ptCount val="2"/>
                <c:pt idx="0">
                  <c:v>7</c:v>
                </c:pt>
                <c:pt idx="1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786-4600-8649-32BEEAEA3423}"/>
            </c:ext>
          </c:extLst>
        </c:ser>
        <c:ser>
          <c:idx val="3"/>
          <c:order val="3"/>
          <c:tx>
            <c:v>Cooler 4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Sheet1!$D$48:$D$49</c:f>
              <c:numCache>
                <c:formatCode>0</c:formatCode>
                <c:ptCount val="2"/>
                <c:pt idx="0">
                  <c:v>400</c:v>
                </c:pt>
                <c:pt idx="1">
                  <c:v>347.2</c:v>
                </c:pt>
              </c:numCache>
            </c:numRef>
          </c:xVal>
          <c:yVal>
            <c:numRef>
              <c:f>Sheet1!$E$48:$E$49</c:f>
              <c:numCache>
                <c:formatCode>0</c:formatCode>
                <c:ptCount val="2"/>
                <c:pt idx="0">
                  <c:v>-1</c:v>
                </c:pt>
                <c:pt idx="1">
                  <c:v>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786-4600-8649-32BEEAEA3423}"/>
            </c:ext>
          </c:extLst>
        </c:ser>
        <c:ser>
          <c:idx val="4"/>
          <c:order val="4"/>
          <c:tx>
            <c:v>Hot stream cooling</c:v>
          </c:tx>
          <c:spPr>
            <a:ln w="19050" cap="rnd">
              <a:solidFill>
                <a:schemeClr val="accent5"/>
              </a:solidFill>
              <a:round/>
              <a:headEnd type="none" w="lg" len="lg"/>
              <a:tailEnd type="triangle" w="lg" len="lg"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Sheet1!$AD$39:$AD$43</c:f>
              <c:numCache>
                <c:formatCode>0</c:formatCode>
                <c:ptCount val="5"/>
                <c:pt idx="0">
                  <c:v>1000</c:v>
                </c:pt>
                <c:pt idx="1">
                  <c:v>-5070.1364705882352</c:v>
                </c:pt>
                <c:pt idx="2">
                  <c:v>-5149.7142857142853</c:v>
                </c:pt>
                <c:pt idx="3">
                  <c:v>-5193.5999999999995</c:v>
                </c:pt>
                <c:pt idx="4">
                  <c:v>-5668.7999999999993</c:v>
                </c:pt>
              </c:numCache>
            </c:numRef>
          </c:xVal>
          <c:yVal>
            <c:numRef>
              <c:f>Sheet1!$AC$39:$AC$43</c:f>
              <c:numCache>
                <c:formatCode>0</c:formatCode>
                <c:ptCount val="5"/>
                <c:pt idx="0">
                  <c:v>98</c:v>
                </c:pt>
                <c:pt idx="1">
                  <c:v>14</c:v>
                </c:pt>
                <c:pt idx="2">
                  <c:v>13</c:v>
                </c:pt>
                <c:pt idx="3">
                  <c:v>7</c:v>
                </c:pt>
                <c:pt idx="4">
                  <c:v>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786-4600-8649-32BEEAEA34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5381087"/>
        <c:axId val="1895392607"/>
      </c:scatterChart>
      <c:valAx>
        <c:axId val="1895381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∆H(kW)</a:t>
                </a:r>
                <a:endParaRPr lang="en-GB" sz="32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895392607"/>
        <c:crosses val="autoZero"/>
        <c:crossBetween val="midCat"/>
      </c:valAx>
      <c:valAx>
        <c:axId val="1895392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 baseline="0"/>
                  <a:t>T (°C) </a:t>
                </a:r>
                <a:endParaRPr lang="en-GB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8953810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Composite</a:t>
            </a:r>
            <a:r>
              <a:rPr lang="en-US" baseline="0"/>
              <a:t> Graph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v>Hot Stream</c:v>
          </c:tx>
          <c:spPr>
            <a:ln w="25400" cap="rnd">
              <a:solidFill>
                <a:schemeClr val="accent2"/>
              </a:solidFill>
              <a:round/>
              <a:headEnd type="triangle"/>
            </a:ln>
            <a:effectLst/>
          </c:spPr>
          <c:marker>
            <c:symbol val="circle"/>
            <c:size val="5"/>
            <c:spPr>
              <a:solidFill>
                <a:srgbClr val="00B0F0">
                  <a:alpha val="25000"/>
                </a:srgbClr>
              </a:solidFill>
              <a:ln w="0">
                <a:solidFill>
                  <a:srgbClr val="00B0F0">
                    <a:alpha val="95000"/>
                  </a:srgbClr>
                </a:solidFill>
              </a:ln>
              <a:effectLst/>
            </c:spPr>
          </c:marker>
          <c:xVal>
            <c:numRef>
              <c:f>(Sheet2!$C$22,Sheet2!$E$22:$I$22)</c:f>
              <c:numCache>
                <c:formatCode>General</c:formatCode>
                <c:ptCount val="6"/>
                <c:pt idx="0">
                  <c:v>0</c:v>
                </c:pt>
                <c:pt idx="1">
                  <c:v>52.8</c:v>
                </c:pt>
                <c:pt idx="2">
                  <c:v>475.2</c:v>
                </c:pt>
                <c:pt idx="3">
                  <c:v>519.08571428571429</c:v>
                </c:pt>
                <c:pt idx="4">
                  <c:v>598.66352941176467</c:v>
                </c:pt>
                <c:pt idx="5">
                  <c:v>6668.8</c:v>
                </c:pt>
              </c:numCache>
              <c:extLst xmlns:c15="http://schemas.microsoft.com/office/drawing/2012/chart"/>
            </c:numRef>
          </c:xVal>
          <c:yVal>
            <c:numRef>
              <c:f>Sheet2!$E$21:$J$21</c:f>
              <c:numCache>
                <c:formatCode>General</c:formatCode>
                <c:ptCount val="6"/>
                <c:pt idx="0">
                  <c:v>-2</c:v>
                </c:pt>
                <c:pt idx="1">
                  <c:v>-1</c:v>
                </c:pt>
                <c:pt idx="2">
                  <c:v>7</c:v>
                </c:pt>
                <c:pt idx="3">
                  <c:v>13</c:v>
                </c:pt>
                <c:pt idx="4">
                  <c:v>14</c:v>
                </c:pt>
                <c:pt idx="5">
                  <c:v>98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C59F-41D5-A1CF-FF04DBCFC7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9308191"/>
        <c:axId val="899285151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Cold stream</c:v>
                </c:tx>
                <c:spPr>
                  <a:ln w="25400" cap="rnd">
                    <a:solidFill>
                      <a:srgbClr val="FF6D3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rgbClr val="FF6D33"/>
                    </a:solidFill>
                    <a:ln w="9525">
                      <a:solidFill>
                        <a:srgbClr val="FF6D33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(Sheet2!$C$19,Sheet2!$E$19:$I$19)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</c:v>
                      </c:pt>
                      <c:pt idx="1">
                        <c:v>2202.666666666667</c:v>
                      </c:pt>
                      <c:pt idx="2">
                        <c:v>3385.2000000000007</c:v>
                      </c:pt>
                      <c:pt idx="3">
                        <c:v>4328.880000000001</c:v>
                      </c:pt>
                      <c:pt idx="4">
                        <c:v>6094.5600000000013</c:v>
                      </c:pt>
                      <c:pt idx="5">
                        <c:v>10100.800000000001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Sheet2!$E$18:$J$18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63</c:v>
                      </c:pt>
                      <c:pt idx="1">
                        <c:v>73</c:v>
                      </c:pt>
                      <c:pt idx="2">
                        <c:v>78</c:v>
                      </c:pt>
                      <c:pt idx="3">
                        <c:v>90</c:v>
                      </c:pt>
                      <c:pt idx="4">
                        <c:v>93</c:v>
                      </c:pt>
                      <c:pt idx="5">
                        <c:v>100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C59F-41D5-A1CF-FF04DBCFC788}"/>
                  </c:ext>
                </c:extLst>
              </c15:ser>
            </c15:filteredScatterSeries>
          </c:ext>
        </c:extLst>
      </c:scatterChart>
      <c:valAx>
        <c:axId val="899308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∆H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899285151"/>
        <c:crosses val="autoZero"/>
        <c:crossBetween val="midCat"/>
      </c:valAx>
      <c:valAx>
        <c:axId val="89928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  <a:r>
                  <a:rPr lang="en-US" baseline="0"/>
                  <a:t> (</a:t>
                </a:r>
                <a:r>
                  <a:rPr lang="en-NL" sz="1000" b="0" i="0" u="none" strike="noStrike" baseline="0"/>
                  <a:t>°C</a:t>
                </a:r>
                <a:r>
                  <a:rPr lang="en-US" baseline="0"/>
                  <a:t>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8993081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Composite</a:t>
            </a:r>
            <a:r>
              <a:rPr lang="en-US" baseline="0"/>
              <a:t> Graph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Cold stream</c:v>
          </c:tx>
          <c:spPr>
            <a:ln w="25400" cap="rnd">
              <a:solidFill>
                <a:schemeClr val="accent4">
                  <a:lumMod val="60000"/>
                  <a:lumOff val="40000"/>
                </a:schemeClr>
              </a:solidFill>
              <a:round/>
              <a:tailEnd type="triangle"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  <a:alpha val="25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(Sheet2!$C$19,Sheet2!$E$19:$I$19)</c:f>
              <c:numCache>
                <c:formatCode>General</c:formatCode>
                <c:ptCount val="6"/>
                <c:pt idx="0">
                  <c:v>0</c:v>
                </c:pt>
                <c:pt idx="1">
                  <c:v>2202.666666666667</c:v>
                </c:pt>
                <c:pt idx="2">
                  <c:v>3385.2000000000007</c:v>
                </c:pt>
                <c:pt idx="3">
                  <c:v>4328.880000000001</c:v>
                </c:pt>
                <c:pt idx="4">
                  <c:v>6094.5600000000013</c:v>
                </c:pt>
                <c:pt idx="5">
                  <c:v>10100.800000000001</c:v>
                </c:pt>
              </c:numCache>
            </c:numRef>
          </c:xVal>
          <c:yVal>
            <c:numRef>
              <c:f>Sheet2!$E$18:$J$18</c:f>
              <c:numCache>
                <c:formatCode>General</c:formatCode>
                <c:ptCount val="6"/>
                <c:pt idx="0">
                  <c:v>63</c:v>
                </c:pt>
                <c:pt idx="1">
                  <c:v>73</c:v>
                </c:pt>
                <c:pt idx="2">
                  <c:v>78</c:v>
                </c:pt>
                <c:pt idx="3">
                  <c:v>90</c:v>
                </c:pt>
                <c:pt idx="4">
                  <c:v>93</c:v>
                </c:pt>
                <c:pt idx="5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5B-4252-A1E0-F93A413F4942}"/>
            </c:ext>
          </c:extLst>
        </c:ser>
        <c:ser>
          <c:idx val="1"/>
          <c:order val="1"/>
          <c:tx>
            <c:v>Hot Stream</c:v>
          </c:tx>
          <c:spPr>
            <a:ln w="2540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(Sheet2!$C$22,Sheet2!$E$22:$I$22)</c:f>
              <c:numCache>
                <c:formatCode>General</c:formatCode>
                <c:ptCount val="6"/>
                <c:pt idx="0">
                  <c:v>0</c:v>
                </c:pt>
                <c:pt idx="1">
                  <c:v>52.8</c:v>
                </c:pt>
                <c:pt idx="2">
                  <c:v>475.2</c:v>
                </c:pt>
                <c:pt idx="3">
                  <c:v>519.08571428571429</c:v>
                </c:pt>
                <c:pt idx="4">
                  <c:v>598.66352941176467</c:v>
                </c:pt>
                <c:pt idx="5">
                  <c:v>6668.8</c:v>
                </c:pt>
              </c:numCache>
              <c:extLst xmlns:c15="http://schemas.microsoft.com/office/drawing/2012/chart"/>
            </c:numRef>
          </c:xVal>
          <c:yVal>
            <c:numRef>
              <c:f>Sheet2!$E$21:$J$21</c:f>
              <c:numCache>
                <c:formatCode>General</c:formatCode>
                <c:ptCount val="6"/>
                <c:pt idx="0">
                  <c:v>-2</c:v>
                </c:pt>
                <c:pt idx="1">
                  <c:v>-1</c:v>
                </c:pt>
                <c:pt idx="2">
                  <c:v>7</c:v>
                </c:pt>
                <c:pt idx="3">
                  <c:v>13</c:v>
                </c:pt>
                <c:pt idx="4">
                  <c:v>14</c:v>
                </c:pt>
                <c:pt idx="5">
                  <c:v>98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985B-4252-A1E0-F93A413F49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9308191"/>
        <c:axId val="899285151"/>
        <c:extLst/>
      </c:scatterChart>
      <c:valAx>
        <c:axId val="899308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∆H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899285151"/>
        <c:crosses val="autoZero"/>
        <c:crossBetween val="midCat"/>
      </c:valAx>
      <c:valAx>
        <c:axId val="89928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  <a:r>
                  <a:rPr lang="en-US" baseline="0"/>
                  <a:t> (</a:t>
                </a:r>
                <a:r>
                  <a:rPr lang="en-NL" sz="1000" b="0" i="0" u="none" strike="noStrike" baseline="0"/>
                  <a:t>°C</a:t>
                </a:r>
                <a:r>
                  <a:rPr lang="en-US" baseline="0"/>
                  <a:t>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8993081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319740887701674"/>
          <c:y val="0.46574542643701788"/>
          <c:w val="0.18216412942935933"/>
          <c:h val="0.147647830225043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lp steam, ref 1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40000"/>
                  <a:lumOff val="60000"/>
                </a:schemeClr>
              </a:solidFill>
              <a:ln w="9525">
                <a:solidFill>
                  <a:schemeClr val="accent4">
                    <a:lumMod val="40000"/>
                    <a:lumOff val="60000"/>
                  </a:schemeClr>
                </a:solidFill>
              </a:ln>
              <a:effectLst/>
            </c:spPr>
          </c:marker>
          <c:cat>
            <c:strRef>
              <c:f>Sheet5!$C$5:$C$9</c:f>
              <c:strCache>
                <c:ptCount val="5"/>
                <c:pt idx="0">
                  <c:v>Only utillity</c:v>
                </c:pt>
                <c:pt idx="1">
                  <c:v>Aspen Design</c:v>
                </c:pt>
                <c:pt idx="2">
                  <c:v>Aspen design 2</c:v>
                </c:pt>
                <c:pt idx="3">
                  <c:v>HEN wo. CF</c:v>
                </c:pt>
                <c:pt idx="4">
                  <c:v>HEN w. CF</c:v>
                </c:pt>
              </c:strCache>
            </c:strRef>
          </c:cat>
          <c:val>
            <c:numRef>
              <c:f>Sheet5!$E$5:$E$9</c:f>
              <c:numCache>
                <c:formatCode>0.00E+00</c:formatCode>
                <c:ptCount val="5"/>
                <c:pt idx="0">
                  <c:v>3.9745811376668001E-2</c:v>
                </c:pt>
                <c:pt idx="1">
                  <c:v>3.9741082956110299E-2</c:v>
                </c:pt>
                <c:pt idx="2">
                  <c:v>3.3654346005649503E-2</c:v>
                </c:pt>
                <c:pt idx="3">
                  <c:v>3.2124349286816095E-2</c:v>
                </c:pt>
                <c:pt idx="4">
                  <c:v>3.1514447658166696E-2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AB-4EC7-9BDA-281005790C99}"/>
            </c:ext>
          </c:extLst>
        </c:ser>
        <c:ser>
          <c:idx val="1"/>
          <c:order val="1"/>
          <c:tx>
            <c:v>power(110-109), ref 1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strRef>
              <c:f>Sheet5!$C$11:$C$15</c:f>
              <c:strCache>
                <c:ptCount val="5"/>
                <c:pt idx="0">
                  <c:v>Only utillity</c:v>
                </c:pt>
                <c:pt idx="1">
                  <c:v>Aspen Design</c:v>
                </c:pt>
                <c:pt idx="2">
                  <c:v>Aspen design 2</c:v>
                </c:pt>
                <c:pt idx="3">
                  <c:v>HEN wo. CF</c:v>
                </c:pt>
                <c:pt idx="4">
                  <c:v>HEN w. CF</c:v>
                </c:pt>
              </c:strCache>
            </c:strRef>
          </c:cat>
          <c:val>
            <c:numRef>
              <c:f>Sheet5!$E$11:$E$15</c:f>
              <c:numCache>
                <c:formatCode>0.00</c:formatCode>
                <c:ptCount val="5"/>
                <c:pt idx="0">
                  <c:v>0.18127593776315901</c:v>
                </c:pt>
                <c:pt idx="1">
                  <c:v>0.18126092853873399</c:v>
                </c:pt>
                <c:pt idx="2">
                  <c:v>0.154054731150889</c:v>
                </c:pt>
                <c:pt idx="3">
                  <c:v>0.14749554062527101</c:v>
                </c:pt>
                <c:pt idx="4">
                  <c:v>0.14654504557287901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8AB-4EC7-9BDA-281005790C99}"/>
            </c:ext>
          </c:extLst>
        </c:ser>
        <c:ser>
          <c:idx val="2"/>
          <c:order val="2"/>
          <c:tx>
            <c:v>hot oil, ref 1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5000"/>
                </a:schemeClr>
              </a:solidFill>
              <a:ln w="9525">
                <a:solidFill>
                  <a:schemeClr val="accent4">
                    <a:lumMod val="75000"/>
                  </a:schemeClr>
                </a:solidFill>
              </a:ln>
              <a:effectLst/>
            </c:spPr>
          </c:marker>
          <c:cat>
            <c:strRef>
              <c:f>Sheet5!$C$17:$C$21</c:f>
              <c:strCache>
                <c:ptCount val="5"/>
                <c:pt idx="0">
                  <c:v>Only utillity</c:v>
                </c:pt>
                <c:pt idx="1">
                  <c:v>Aspen Design</c:v>
                </c:pt>
                <c:pt idx="2">
                  <c:v>Aspen design 2</c:v>
                </c:pt>
                <c:pt idx="3">
                  <c:v>HEN wo. CF</c:v>
                </c:pt>
                <c:pt idx="4">
                  <c:v>HEN w. CF</c:v>
                </c:pt>
              </c:strCache>
            </c:strRef>
          </c:cat>
          <c:val>
            <c:numRef>
              <c:f>Sheet5!$E$17:$E$21</c:f>
              <c:numCache>
                <c:formatCode>0.00E+00</c:formatCode>
                <c:ptCount val="5"/>
                <c:pt idx="0">
                  <c:v>5.5043690061203097E-2</c:v>
                </c:pt>
                <c:pt idx="1">
                  <c:v>5.5039473849132999E-2</c:v>
                </c:pt>
                <c:pt idx="2">
                  <c:v>4.6572885552497001E-2</c:v>
                </c:pt>
                <c:pt idx="3">
                  <c:v>4.44712815231222E-2</c:v>
                </c:pt>
                <c:pt idx="4">
                  <c:v>4.4047741730885999E-2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8AB-4EC7-9BDA-281005790C99}"/>
            </c:ext>
          </c:extLst>
        </c:ser>
        <c:ser>
          <c:idx val="3"/>
          <c:order val="3"/>
          <c:tx>
            <c:v>lp steam, ref 2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40000"/>
                  <a:lumOff val="60000"/>
                </a:schemeClr>
              </a:solidFill>
              <a:ln w="9525">
                <a:solidFill>
                  <a:schemeClr val="accent2">
                    <a:lumMod val="40000"/>
                    <a:lumOff val="60000"/>
                  </a:schemeClr>
                </a:solidFill>
              </a:ln>
              <a:effectLst/>
            </c:spPr>
          </c:marker>
          <c:cat>
            <c:strRef>
              <c:f>Sheet5!$J$5:$J$9</c:f>
              <c:strCache>
                <c:ptCount val="5"/>
                <c:pt idx="0">
                  <c:v>Only utillity</c:v>
                </c:pt>
                <c:pt idx="1">
                  <c:v>Aspen Design</c:v>
                </c:pt>
                <c:pt idx="2">
                  <c:v>Aspen design 2</c:v>
                </c:pt>
                <c:pt idx="3">
                  <c:v>HEN wo. CF</c:v>
                </c:pt>
                <c:pt idx="4">
                  <c:v>HEN w. CF</c:v>
                </c:pt>
              </c:strCache>
            </c:strRef>
          </c:cat>
          <c:val>
            <c:numRef>
              <c:f>Sheet5!$L$5:$L$9</c:f>
              <c:numCache>
                <c:formatCode>0.00E+00</c:formatCode>
                <c:ptCount val="5"/>
                <c:pt idx="0">
                  <c:v>4.3808005795678395E-2</c:v>
                </c:pt>
                <c:pt idx="1">
                  <c:v>4.3804345877308797E-2</c:v>
                </c:pt>
                <c:pt idx="2">
                  <c:v>3.6773616812463904E-2</c:v>
                </c:pt>
                <c:pt idx="3">
                  <c:v>3.5016966313675499E-2</c:v>
                </c:pt>
                <c:pt idx="4">
                  <c:v>3.4407392013207E-2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8AB-4EC7-9BDA-281005790C99}"/>
            </c:ext>
          </c:extLst>
        </c:ser>
        <c:ser>
          <c:idx val="4"/>
          <c:order val="4"/>
          <c:tx>
            <c:v>power (110-109), ref 2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strRef>
              <c:f>Sheet5!$J$11:$J$15</c:f>
              <c:strCache>
                <c:ptCount val="5"/>
                <c:pt idx="0">
                  <c:v>Only utillity</c:v>
                </c:pt>
                <c:pt idx="1">
                  <c:v>Aspen Design</c:v>
                </c:pt>
                <c:pt idx="2">
                  <c:v>Aspen design 2</c:v>
                </c:pt>
                <c:pt idx="3">
                  <c:v>HEN wo. CF</c:v>
                </c:pt>
                <c:pt idx="4">
                  <c:v>HEN w. CF</c:v>
                </c:pt>
              </c:strCache>
            </c:strRef>
          </c:cat>
          <c:val>
            <c:numRef>
              <c:f>Sheet5!$L$11:$L$15</c:f>
              <c:numCache>
                <c:formatCode>0.00E+00</c:formatCode>
                <c:ptCount val="5"/>
                <c:pt idx="0">
                  <c:v>0.18533813218216899</c:v>
                </c:pt>
                <c:pt idx="1">
                  <c:v>0.18532419145993201</c:v>
                </c:pt>
                <c:pt idx="2">
                  <c:v>0.15717400195770401</c:v>
                </c:pt>
                <c:pt idx="3">
                  <c:v>0.15038815765213001</c:v>
                </c:pt>
                <c:pt idx="4">
                  <c:v>0.14943798992791901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8AB-4EC7-9BDA-281005790C99}"/>
            </c:ext>
          </c:extLst>
        </c:ser>
        <c:ser>
          <c:idx val="5"/>
          <c:order val="5"/>
          <c:tx>
            <c:v>hot oil, ref 2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5000"/>
                </a:schemeClr>
              </a:solidFill>
              <a:ln w="9525">
                <a:solidFill>
                  <a:schemeClr val="accent2">
                    <a:lumMod val="75000"/>
                  </a:schemeClr>
                </a:solidFill>
              </a:ln>
              <a:effectLst/>
            </c:spPr>
          </c:marker>
          <c:cat>
            <c:strRef>
              <c:f>Sheet5!$J$17:$J$21</c:f>
              <c:strCache>
                <c:ptCount val="5"/>
                <c:pt idx="0">
                  <c:v>Only utillity</c:v>
                </c:pt>
                <c:pt idx="1">
                  <c:v>Aspen Design</c:v>
                </c:pt>
                <c:pt idx="2">
                  <c:v>Aspen design 2</c:v>
                </c:pt>
                <c:pt idx="3">
                  <c:v>HEN wo. CF</c:v>
                </c:pt>
                <c:pt idx="4">
                  <c:v>HEN w. CF</c:v>
                </c:pt>
              </c:strCache>
            </c:strRef>
          </c:cat>
          <c:val>
            <c:numRef>
              <c:f>Sheet5!$L$17:$L$21</c:f>
              <c:numCache>
                <c:formatCode>0.00E+00</c:formatCode>
                <c:ptCount val="5"/>
                <c:pt idx="0">
                  <c:v>5.9105884480213498E-2</c:v>
                </c:pt>
                <c:pt idx="1">
                  <c:v>5.9102736770331399E-2</c:v>
                </c:pt>
                <c:pt idx="2">
                  <c:v>4.9692156359311394E-2</c:v>
                </c:pt>
                <c:pt idx="3">
                  <c:v>4.7363898549981603E-2</c:v>
                </c:pt>
                <c:pt idx="4">
                  <c:v>4.6940686085926199E-2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8AB-4EC7-9BDA-281005790C99}"/>
            </c:ext>
          </c:extLst>
        </c:ser>
        <c:ser>
          <c:idx val="6"/>
          <c:order val="6"/>
          <c:tx>
            <c:v>lp team, ref 3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 w="9525">
                <a:solidFill>
                  <a:schemeClr val="accent3">
                    <a:lumMod val="40000"/>
                    <a:lumOff val="60000"/>
                  </a:schemeClr>
                </a:solidFill>
              </a:ln>
              <a:effectLst/>
            </c:spPr>
          </c:marker>
          <c:cat>
            <c:strRef>
              <c:f>Sheet5!$Q$5:$Q$9</c:f>
              <c:strCache>
                <c:ptCount val="5"/>
                <c:pt idx="0">
                  <c:v>Only utillity</c:v>
                </c:pt>
                <c:pt idx="1">
                  <c:v>Aspen Design</c:v>
                </c:pt>
                <c:pt idx="2">
                  <c:v>Aspen design 2</c:v>
                </c:pt>
                <c:pt idx="3">
                  <c:v>HEN wo. CF</c:v>
                </c:pt>
                <c:pt idx="4">
                  <c:v>HEN w. CF</c:v>
                </c:pt>
              </c:strCache>
            </c:strRef>
          </c:cat>
          <c:val>
            <c:numRef>
              <c:f>Sheet5!$S$5:$S$9</c:f>
              <c:numCache>
                <c:formatCode>0.00E+00</c:formatCode>
                <c:ptCount val="5"/>
                <c:pt idx="0">
                  <c:v>6.0454208494603603E-2</c:v>
                </c:pt>
                <c:pt idx="1">
                  <c:v>6.04510161010842E-2</c:v>
                </c:pt>
                <c:pt idx="2">
                  <c:v>4.9615748657495094E-2</c:v>
                </c:pt>
                <c:pt idx="3">
                  <c:v>4.6952673886216795E-2</c:v>
                </c:pt>
                <c:pt idx="4">
                  <c:v>4.6343294949133897E-2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8AB-4EC7-9BDA-281005790C99}"/>
            </c:ext>
          </c:extLst>
        </c:ser>
        <c:ser>
          <c:idx val="7"/>
          <c:order val="7"/>
          <c:tx>
            <c:v>power (110-109), ref 3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strRef>
              <c:f>Sheet5!$Q$11:$Q$15</c:f>
              <c:strCache>
                <c:ptCount val="5"/>
                <c:pt idx="0">
                  <c:v>Only utillity</c:v>
                </c:pt>
                <c:pt idx="1">
                  <c:v>Aspen Design</c:v>
                </c:pt>
                <c:pt idx="2">
                  <c:v>Aspen design 2</c:v>
                </c:pt>
                <c:pt idx="3">
                  <c:v>HEN wo. CF</c:v>
                </c:pt>
                <c:pt idx="4">
                  <c:v>HEN w. CF</c:v>
                </c:pt>
              </c:strCache>
            </c:strRef>
          </c:cat>
          <c:val>
            <c:numRef>
              <c:f>Sheet5!$S$11:$S$15</c:f>
              <c:numCache>
                <c:formatCode>General</c:formatCode>
                <c:ptCount val="5"/>
                <c:pt idx="0">
                  <c:v>0.20390720392864201</c:v>
                </c:pt>
                <c:pt idx="1">
                  <c:v>0.203884555362847</c:v>
                </c:pt>
                <c:pt idx="2">
                  <c:v>0.17175388843145001</c:v>
                </c:pt>
                <c:pt idx="3">
                  <c:v>0.164042871967956</c:v>
                </c:pt>
                <c:pt idx="4">
                  <c:v>0.1624775553218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78AB-4EC7-9BDA-281005790C99}"/>
            </c:ext>
          </c:extLst>
        </c:ser>
        <c:ser>
          <c:idx val="8"/>
          <c:order val="8"/>
          <c:tx>
            <c:v>hot oil, ref 3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5000"/>
                </a:schemeClr>
              </a:solidFill>
              <a:ln w="9525">
                <a:solidFill>
                  <a:schemeClr val="accent3">
                    <a:lumMod val="75000"/>
                  </a:schemeClr>
                </a:solidFill>
              </a:ln>
              <a:effectLst/>
            </c:spPr>
          </c:marker>
          <c:cat>
            <c:strRef>
              <c:f>Sheet5!$Q$17:$Q$21</c:f>
              <c:strCache>
                <c:ptCount val="5"/>
                <c:pt idx="0">
                  <c:v>Only utillity</c:v>
                </c:pt>
                <c:pt idx="1">
                  <c:v>Aspen Design</c:v>
                </c:pt>
                <c:pt idx="2">
                  <c:v>Aspen design 2</c:v>
                </c:pt>
                <c:pt idx="3">
                  <c:v>HEN wo. CF</c:v>
                </c:pt>
                <c:pt idx="4">
                  <c:v>HEN w. CF</c:v>
                </c:pt>
              </c:strCache>
            </c:strRef>
          </c:cat>
          <c:val>
            <c:numRef>
              <c:f>Sheet5!$S$17:$S$21</c:f>
              <c:numCache>
                <c:formatCode>0.00E+00</c:formatCode>
                <c:ptCount val="5"/>
                <c:pt idx="0">
                  <c:v>7.57520871791387E-2</c:v>
                </c:pt>
                <c:pt idx="1">
                  <c:v>7.5749406994106802E-2</c:v>
                </c:pt>
                <c:pt idx="2">
                  <c:v>6.2534288204342495E-2</c:v>
                </c:pt>
                <c:pt idx="3">
                  <c:v>5.9299606122522899E-2</c:v>
                </c:pt>
                <c:pt idx="4">
                  <c:v>5.88765890218532E-2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8AB-4EC7-9BDA-281005790C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5404000"/>
        <c:axId val="2085402560"/>
      </c:lineChart>
      <c:catAx>
        <c:axId val="2085404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085402560"/>
        <c:crosses val="autoZero"/>
        <c:auto val="1"/>
        <c:lblAlgn val="ctr"/>
        <c:lblOffset val="100"/>
        <c:tickMarkSkip val="1"/>
        <c:noMultiLvlLbl val="0"/>
      </c:catAx>
      <c:valAx>
        <c:axId val="2085402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</a:t>
                </a:r>
                <a:r>
                  <a:rPr lang="en-US" baseline="0"/>
                  <a:t> Cost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085404000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layout>
        <c:manualLayout>
          <c:xMode val="edge"/>
          <c:yMode val="edge"/>
          <c:x val="0.77604408385417545"/>
          <c:y val="0.19080112100403077"/>
          <c:w val="0.16598910266465847"/>
          <c:h val="0.4716894756071256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Capital</a:t>
            </a:r>
            <a:r>
              <a:rPr lang="en-US" baseline="0"/>
              <a:t> cost of different combinations of heating/cooling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lp steam, ref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40000"/>
                  <a:lumOff val="60000"/>
                </a:schemeClr>
              </a:solidFill>
              <a:ln w="9525">
                <a:solidFill>
                  <a:schemeClr val="accent4">
                    <a:lumMod val="40000"/>
                    <a:lumOff val="60000"/>
                  </a:schemeClr>
                </a:solidFill>
              </a:ln>
              <a:effectLst/>
            </c:spPr>
          </c:marker>
          <c:cat>
            <c:strRef>
              <c:f>Sheet5!$C$5:$C$9</c:f>
              <c:strCache>
                <c:ptCount val="5"/>
                <c:pt idx="0">
                  <c:v>Only utillity</c:v>
                </c:pt>
                <c:pt idx="1">
                  <c:v>Aspen Design</c:v>
                </c:pt>
                <c:pt idx="2">
                  <c:v>Aspen design 2</c:v>
                </c:pt>
                <c:pt idx="3">
                  <c:v>HEN wo. CF</c:v>
                </c:pt>
                <c:pt idx="4">
                  <c:v>HEN w. CF</c:v>
                </c:pt>
              </c:strCache>
            </c:strRef>
          </c:cat>
          <c:val>
            <c:numRef>
              <c:f>Sheet5!$G$5:$G$9</c:f>
              <c:numCache>
                <c:formatCode>#,##0</c:formatCode>
                <c:ptCount val="5"/>
                <c:pt idx="0">
                  <c:v>489573.73758804705</c:v>
                </c:pt>
                <c:pt idx="1">
                  <c:v>488563.22505067301</c:v>
                </c:pt>
                <c:pt idx="2">
                  <c:v>692103.33276798006</c:v>
                </c:pt>
                <c:pt idx="3">
                  <c:v>723303.09916342003</c:v>
                </c:pt>
                <c:pt idx="4">
                  <c:v>592960.79251076502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4C-41DE-BBEB-46D41426AEA8}"/>
            </c:ext>
          </c:extLst>
        </c:ser>
        <c:ser>
          <c:idx val="1"/>
          <c:order val="1"/>
          <c:tx>
            <c:v>power(110-109), ref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strRef>
              <c:f>Sheet5!$C$11:$C$15</c:f>
              <c:strCache>
                <c:ptCount val="5"/>
                <c:pt idx="0">
                  <c:v>Only utillity</c:v>
                </c:pt>
                <c:pt idx="1">
                  <c:v>Aspen Design</c:v>
                </c:pt>
                <c:pt idx="2">
                  <c:v>Aspen design 2</c:v>
                </c:pt>
                <c:pt idx="3">
                  <c:v>HEN wo. CF</c:v>
                </c:pt>
                <c:pt idx="4">
                  <c:v>HEN w. CF</c:v>
                </c:pt>
              </c:strCache>
            </c:strRef>
          </c:cat>
          <c:val>
            <c:numRef>
              <c:f>Sheet5!$G$11:$G$15</c:f>
              <c:numCache>
                <c:formatCode>#,##0</c:formatCode>
                <c:ptCount val="5"/>
                <c:pt idx="0">
                  <c:v>730883.82319538505</c:v>
                </c:pt>
                <c:pt idx="1">
                  <c:v>727676.19619336701</c:v>
                </c:pt>
                <c:pt idx="2">
                  <c:v>925496.03847081005</c:v>
                </c:pt>
                <c:pt idx="3">
                  <c:v>955173.3734669711</c:v>
                </c:pt>
                <c:pt idx="4">
                  <c:v>752042.7180118711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4C-41DE-BBEB-46D41426AEA8}"/>
            </c:ext>
          </c:extLst>
        </c:ser>
        <c:ser>
          <c:idx val="2"/>
          <c:order val="2"/>
          <c:tx>
            <c:v>hot oil, ref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5000"/>
                </a:schemeClr>
              </a:solidFill>
              <a:ln w="9525">
                <a:solidFill>
                  <a:schemeClr val="accent4">
                    <a:lumMod val="75000"/>
                  </a:schemeClr>
                </a:solidFill>
              </a:ln>
              <a:effectLst/>
            </c:spPr>
          </c:marker>
          <c:cat>
            <c:strRef>
              <c:f>Sheet5!$C$17:$C$21</c:f>
              <c:strCache>
                <c:ptCount val="5"/>
                <c:pt idx="0">
                  <c:v>Only utillity</c:v>
                </c:pt>
                <c:pt idx="1">
                  <c:v>Aspen Design</c:v>
                </c:pt>
                <c:pt idx="2">
                  <c:v>Aspen design 2</c:v>
                </c:pt>
                <c:pt idx="3">
                  <c:v>HEN wo. CF</c:v>
                </c:pt>
                <c:pt idx="4">
                  <c:v>HEN w. CF</c:v>
                </c:pt>
              </c:strCache>
            </c:strRef>
          </c:cat>
          <c:val>
            <c:numRef>
              <c:f>Sheet5!$G$17:$G$21</c:f>
              <c:numCache>
                <c:formatCode>#,##0</c:formatCode>
                <c:ptCount val="5"/>
                <c:pt idx="0">
                  <c:v>305059.33680354804</c:v>
                </c:pt>
                <c:pt idx="1">
                  <c:v>304158.288534872</c:v>
                </c:pt>
                <c:pt idx="2">
                  <c:v>517974.58571876801</c:v>
                </c:pt>
                <c:pt idx="3">
                  <c:v>550557.63301852404</c:v>
                </c:pt>
                <c:pt idx="4">
                  <c:v>460042.784580587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A4C-41DE-BBEB-46D41426AEA8}"/>
            </c:ext>
          </c:extLst>
        </c:ser>
        <c:ser>
          <c:idx val="3"/>
          <c:order val="3"/>
          <c:tx>
            <c:v>lp steam, ref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40000"/>
                  <a:lumOff val="60000"/>
                </a:schemeClr>
              </a:solidFill>
              <a:ln w="9525">
                <a:solidFill>
                  <a:schemeClr val="accent2">
                    <a:lumMod val="40000"/>
                    <a:lumOff val="60000"/>
                  </a:schemeClr>
                </a:solidFill>
              </a:ln>
              <a:effectLst/>
            </c:spPr>
          </c:marker>
          <c:cat>
            <c:strRef>
              <c:f>Sheet5!$J$5:$J$9</c:f>
              <c:strCache>
                <c:ptCount val="5"/>
                <c:pt idx="0">
                  <c:v>Only utillity</c:v>
                </c:pt>
                <c:pt idx="1">
                  <c:v>Aspen Design</c:v>
                </c:pt>
                <c:pt idx="2">
                  <c:v>Aspen design 2</c:v>
                </c:pt>
                <c:pt idx="3">
                  <c:v>HEN wo. CF</c:v>
                </c:pt>
                <c:pt idx="4">
                  <c:v>HEN w. CF</c:v>
                </c:pt>
              </c:strCache>
            </c:strRef>
          </c:cat>
          <c:val>
            <c:numRef>
              <c:f>Sheet5!$N$5:$N$9</c:f>
              <c:numCache>
                <c:formatCode>General</c:formatCode>
                <c:ptCount val="5"/>
                <c:pt idx="0">
                  <c:v>466090.24345895101</c:v>
                </c:pt>
                <c:pt idx="1">
                  <c:v>465308.08092640701</c:v>
                </c:pt>
                <c:pt idx="2">
                  <c:v>670000.420962982</c:v>
                </c:pt>
                <c:pt idx="3">
                  <c:v>701069.81378167809</c:v>
                </c:pt>
                <c:pt idx="4">
                  <c:v>570797.46055777709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A4C-41DE-BBEB-46D41426AEA8}"/>
            </c:ext>
          </c:extLst>
        </c:ser>
        <c:ser>
          <c:idx val="4"/>
          <c:order val="4"/>
          <c:tx>
            <c:v>power (110-109), ref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strRef>
              <c:f>Sheet5!$J$11:$J$15</c:f>
              <c:strCache>
                <c:ptCount val="5"/>
                <c:pt idx="0">
                  <c:v>Only utillity</c:v>
                </c:pt>
                <c:pt idx="1">
                  <c:v>Aspen Design</c:v>
                </c:pt>
                <c:pt idx="2">
                  <c:v>Aspen design 2</c:v>
                </c:pt>
                <c:pt idx="3">
                  <c:v>HEN wo. CF</c:v>
                </c:pt>
                <c:pt idx="4">
                  <c:v>HEN w. CF</c:v>
                </c:pt>
              </c:strCache>
            </c:strRef>
          </c:cat>
          <c:val>
            <c:numRef>
              <c:f>Sheet5!$N$11:$N$15</c:f>
              <c:numCache>
                <c:formatCode>General</c:formatCode>
                <c:ptCount val="5"/>
                <c:pt idx="0">
                  <c:v>707400.32906628808</c:v>
                </c:pt>
                <c:pt idx="1">
                  <c:v>704421.05206910102</c:v>
                </c:pt>
                <c:pt idx="2">
                  <c:v>903393.1266658121</c:v>
                </c:pt>
                <c:pt idx="3">
                  <c:v>932940.08808523009</c:v>
                </c:pt>
                <c:pt idx="4">
                  <c:v>729879.38605888304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A4C-41DE-BBEB-46D41426AEA8}"/>
            </c:ext>
          </c:extLst>
        </c:ser>
        <c:ser>
          <c:idx val="5"/>
          <c:order val="5"/>
          <c:tx>
            <c:v>hot oil, ref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5000"/>
                </a:schemeClr>
              </a:solidFill>
              <a:ln w="9525">
                <a:solidFill>
                  <a:schemeClr val="accent2">
                    <a:lumMod val="75000"/>
                  </a:schemeClr>
                </a:solidFill>
              </a:ln>
              <a:effectLst/>
            </c:spPr>
          </c:marker>
          <c:cat>
            <c:strRef>
              <c:f>Sheet5!$J$17:$J$21</c:f>
              <c:strCache>
                <c:ptCount val="5"/>
                <c:pt idx="0">
                  <c:v>Only utillity</c:v>
                </c:pt>
                <c:pt idx="1">
                  <c:v>Aspen Design</c:v>
                </c:pt>
                <c:pt idx="2">
                  <c:v>Aspen design 2</c:v>
                </c:pt>
                <c:pt idx="3">
                  <c:v>HEN wo. CF</c:v>
                </c:pt>
                <c:pt idx="4">
                  <c:v>HEN w. CF</c:v>
                </c:pt>
              </c:strCache>
            </c:strRef>
          </c:cat>
          <c:val>
            <c:numRef>
              <c:f>Sheet5!$N$17:$N$21</c:f>
              <c:numCache>
                <c:formatCode>General</c:formatCode>
                <c:ptCount val="5"/>
                <c:pt idx="0">
                  <c:v>281575.84267445101</c:v>
                </c:pt>
                <c:pt idx="1">
                  <c:v>280903.14441060601</c:v>
                </c:pt>
                <c:pt idx="2">
                  <c:v>495871.67391377001</c:v>
                </c:pt>
                <c:pt idx="3">
                  <c:v>528324.34763678198</c:v>
                </c:pt>
                <c:pt idx="4">
                  <c:v>437879.45262759901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A4C-41DE-BBEB-46D41426AEA8}"/>
            </c:ext>
          </c:extLst>
        </c:ser>
        <c:ser>
          <c:idx val="6"/>
          <c:order val="6"/>
          <c:tx>
            <c:v>lp team, ref 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 w="9525">
                <a:solidFill>
                  <a:schemeClr val="accent3">
                    <a:lumMod val="40000"/>
                    <a:lumOff val="60000"/>
                  </a:schemeClr>
                </a:solidFill>
              </a:ln>
              <a:effectLst/>
            </c:spPr>
          </c:marker>
          <c:cat>
            <c:strRef>
              <c:f>Sheet5!$Q$5:$Q$9</c:f>
              <c:strCache>
                <c:ptCount val="5"/>
                <c:pt idx="0">
                  <c:v>Only utillity</c:v>
                </c:pt>
                <c:pt idx="1">
                  <c:v>Aspen Design</c:v>
                </c:pt>
                <c:pt idx="2">
                  <c:v>Aspen design 2</c:v>
                </c:pt>
                <c:pt idx="3">
                  <c:v>HEN wo. CF</c:v>
                </c:pt>
                <c:pt idx="4">
                  <c:v>HEN w. CF</c:v>
                </c:pt>
              </c:strCache>
            </c:strRef>
          </c:cat>
          <c:val>
            <c:numRef>
              <c:f>Sheet5!$U$5:$U$9</c:f>
              <c:numCache>
                <c:formatCode>#,##0</c:formatCode>
                <c:ptCount val="5"/>
                <c:pt idx="0">
                  <c:v>444477.74231300503</c:v>
                </c:pt>
                <c:pt idx="1">
                  <c:v>443795.49469219602</c:v>
                </c:pt>
                <c:pt idx="2">
                  <c:v>649861.10337780707</c:v>
                </c:pt>
                <c:pt idx="3">
                  <c:v>681133.12794157001</c:v>
                </c:pt>
                <c:pt idx="4">
                  <c:v>550902.52590035403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A4C-41DE-BBEB-46D41426AEA8}"/>
            </c:ext>
          </c:extLst>
        </c:ser>
        <c:ser>
          <c:idx val="7"/>
          <c:order val="7"/>
          <c:tx>
            <c:v>power (110-109), ref 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strRef>
              <c:f>Sheet5!$Q$11:$Q$15</c:f>
              <c:strCache>
                <c:ptCount val="5"/>
                <c:pt idx="0">
                  <c:v>Only utillity</c:v>
                </c:pt>
                <c:pt idx="1">
                  <c:v>Aspen Design</c:v>
                </c:pt>
                <c:pt idx="2">
                  <c:v>Aspen design 2</c:v>
                </c:pt>
                <c:pt idx="3">
                  <c:v>HEN wo. CF</c:v>
                </c:pt>
                <c:pt idx="4">
                  <c:v>HEN w. CF</c:v>
                </c:pt>
              </c:strCache>
            </c:strRef>
          </c:cat>
          <c:val>
            <c:numRef>
              <c:f>Sheet5!$U$11:$U$15</c:f>
              <c:numCache>
                <c:formatCode>#,##0</c:formatCode>
                <c:ptCount val="5"/>
                <c:pt idx="0">
                  <c:v>1096724.89592476</c:v>
                </c:pt>
                <c:pt idx="1">
                  <c:v>1091884.6624029099</c:v>
                </c:pt>
                <c:pt idx="2">
                  <c:v>1254630.0049511599</c:v>
                </c:pt>
                <c:pt idx="3">
                  <c:v>1280372.9804626901</c:v>
                </c:pt>
                <c:pt idx="4">
                  <c:v>945848.57075830502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A4C-41DE-BBEB-46D41426AEA8}"/>
            </c:ext>
          </c:extLst>
        </c:ser>
        <c:ser>
          <c:idx val="8"/>
          <c:order val="8"/>
          <c:tx>
            <c:v>hot oil, ref 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5000"/>
                </a:schemeClr>
              </a:solidFill>
              <a:ln w="9525">
                <a:solidFill>
                  <a:schemeClr val="accent3">
                    <a:lumMod val="75000"/>
                  </a:schemeClr>
                </a:solidFill>
              </a:ln>
              <a:effectLst/>
            </c:spPr>
          </c:marker>
          <c:cat>
            <c:strRef>
              <c:f>Sheet5!$Q$17:$Q$21</c:f>
              <c:strCache>
                <c:ptCount val="5"/>
                <c:pt idx="0">
                  <c:v>Only utillity</c:v>
                </c:pt>
                <c:pt idx="1">
                  <c:v>Aspen Design</c:v>
                </c:pt>
                <c:pt idx="2">
                  <c:v>Aspen design 2</c:v>
                </c:pt>
                <c:pt idx="3">
                  <c:v>HEN wo. CF</c:v>
                </c:pt>
                <c:pt idx="4">
                  <c:v>HEN w. CF</c:v>
                </c:pt>
              </c:strCache>
            </c:strRef>
          </c:cat>
          <c:val>
            <c:numRef>
              <c:f>Sheet5!$U$17:$U$21</c:f>
              <c:numCache>
                <c:formatCode>#,##0</c:formatCode>
                <c:ptCount val="5"/>
                <c:pt idx="0">
                  <c:v>259963.34152850602</c:v>
                </c:pt>
                <c:pt idx="1">
                  <c:v>259390.55817639502</c:v>
                </c:pt>
                <c:pt idx="2">
                  <c:v>475732.35632859502</c:v>
                </c:pt>
                <c:pt idx="3">
                  <c:v>508387.66179667402</c:v>
                </c:pt>
                <c:pt idx="4">
                  <c:v>417984.51797017601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A4C-41DE-BBEB-46D41426AE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5404000"/>
        <c:axId val="2085402560"/>
      </c:lineChart>
      <c:catAx>
        <c:axId val="2085404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085402560"/>
        <c:crosses val="autoZero"/>
        <c:auto val="1"/>
        <c:lblAlgn val="ctr"/>
        <c:lblOffset val="100"/>
        <c:noMultiLvlLbl val="0"/>
      </c:catAx>
      <c:valAx>
        <c:axId val="2085402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Capital Cost Index (</a:t>
                </a:r>
                <a:r>
                  <a:rPr lang="en-NL" sz="1000" b="0" i="0" u="none" strike="noStrike" baseline="0"/>
                  <a:t>€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085404000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layout>
        <c:manualLayout>
          <c:xMode val="edge"/>
          <c:yMode val="edge"/>
          <c:x val="0.77604408385417545"/>
          <c:y val="0.19080112100403077"/>
          <c:w val="0.17525259471487453"/>
          <c:h val="0.486782253179890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Operational cost of different combinations of heating/cooling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lp steam, ref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40000"/>
                  <a:lumOff val="60000"/>
                </a:schemeClr>
              </a:solidFill>
              <a:ln w="9525">
                <a:solidFill>
                  <a:schemeClr val="accent4">
                    <a:lumMod val="40000"/>
                    <a:lumOff val="60000"/>
                  </a:schemeClr>
                </a:solidFill>
              </a:ln>
              <a:effectLst/>
            </c:spPr>
          </c:marker>
          <c:cat>
            <c:strRef>
              <c:f>Sheet5!$C$5:$C$9</c:f>
              <c:strCache>
                <c:ptCount val="5"/>
                <c:pt idx="0">
                  <c:v>Only utillity</c:v>
                </c:pt>
                <c:pt idx="1">
                  <c:v>Aspen Design</c:v>
                </c:pt>
                <c:pt idx="2">
                  <c:v>Aspen design 2</c:v>
                </c:pt>
                <c:pt idx="3">
                  <c:v>HEN wo. CF</c:v>
                </c:pt>
                <c:pt idx="4">
                  <c:v>HEN w. CF</c:v>
                </c:pt>
              </c:strCache>
            </c:strRef>
          </c:cat>
          <c:val>
            <c:numRef>
              <c:f>Sheet5!$I$5:$I$9</c:f>
              <c:numCache>
                <c:formatCode>0.00E+00</c:formatCode>
                <c:ptCount val="5"/>
                <c:pt idx="0">
                  <c:v>3.7454983267460003E-2</c:v>
                </c:pt>
                <c:pt idx="1">
                  <c:v>3.7454983267460003E-2</c:v>
                </c:pt>
                <c:pt idx="2">
                  <c:v>3.0415835343307596E-2</c:v>
                </c:pt>
                <c:pt idx="3">
                  <c:v>2.8739847742259999E-2</c:v>
                </c:pt>
                <c:pt idx="4">
                  <c:v>2.8739847742259999E-2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F0-4553-BC45-2DAC3D69E617}"/>
            </c:ext>
          </c:extLst>
        </c:ser>
        <c:ser>
          <c:idx val="1"/>
          <c:order val="1"/>
          <c:tx>
            <c:v>power(110-109), ref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strRef>
              <c:f>Sheet5!$C$11:$C$15</c:f>
              <c:strCache>
                <c:ptCount val="5"/>
                <c:pt idx="0">
                  <c:v>Only utillity</c:v>
                </c:pt>
                <c:pt idx="1">
                  <c:v>Aspen Design</c:v>
                </c:pt>
                <c:pt idx="2">
                  <c:v>Aspen design 2</c:v>
                </c:pt>
                <c:pt idx="3">
                  <c:v>HEN wo. CF</c:v>
                </c:pt>
                <c:pt idx="4">
                  <c:v>HEN w. CF</c:v>
                </c:pt>
              </c:strCache>
            </c:strRef>
          </c:cat>
          <c:val>
            <c:numRef>
              <c:f>Sheet5!$I$11:$I$15</c:f>
              <c:numCache>
                <c:formatCode>0.00E+00</c:formatCode>
                <c:ptCount val="5"/>
                <c:pt idx="0">
                  <c:v>0.17785596426746</c:v>
                </c:pt>
                <c:pt idx="1">
                  <c:v>0.17785596426746</c:v>
                </c:pt>
                <c:pt idx="2">
                  <c:v>0.14972412234345001</c:v>
                </c:pt>
                <c:pt idx="3">
                  <c:v>0.14302606474226001</c:v>
                </c:pt>
                <c:pt idx="4">
                  <c:v>0.14302606474226001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F0-4553-BC45-2DAC3D69E617}"/>
            </c:ext>
          </c:extLst>
        </c:ser>
        <c:ser>
          <c:idx val="2"/>
          <c:order val="2"/>
          <c:tx>
            <c:v>hot oil, ref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5000"/>
                </a:schemeClr>
              </a:solidFill>
              <a:ln w="9525">
                <a:solidFill>
                  <a:schemeClr val="accent4">
                    <a:lumMod val="75000"/>
                  </a:schemeClr>
                </a:solidFill>
              </a:ln>
              <a:effectLst/>
            </c:spPr>
          </c:marker>
          <c:cat>
            <c:strRef>
              <c:f>Sheet5!$C$17:$C$21</c:f>
              <c:strCache>
                <c:ptCount val="5"/>
                <c:pt idx="0">
                  <c:v>Only utillity</c:v>
                </c:pt>
                <c:pt idx="1">
                  <c:v>Aspen Design</c:v>
                </c:pt>
                <c:pt idx="2">
                  <c:v>Aspen design 2</c:v>
                </c:pt>
                <c:pt idx="3">
                  <c:v>HEN wo. CF</c:v>
                </c:pt>
                <c:pt idx="4">
                  <c:v>HEN w. CF</c:v>
                </c:pt>
              </c:strCache>
            </c:strRef>
          </c:cat>
          <c:val>
            <c:numRef>
              <c:f>Sheet5!$I$17:$I$21</c:f>
              <c:numCache>
                <c:formatCode>0.00E+00</c:formatCode>
                <c:ptCount val="5"/>
                <c:pt idx="0">
                  <c:v>5.3616247267459997E-2</c:v>
                </c:pt>
                <c:pt idx="1">
                  <c:v>5.3616247267459997E-2</c:v>
                </c:pt>
                <c:pt idx="2">
                  <c:v>4.4149163343324006E-2</c:v>
                </c:pt>
                <c:pt idx="3">
                  <c:v>4.1895095742259997E-2</c:v>
                </c:pt>
                <c:pt idx="4">
                  <c:v>4.1895095742259997E-2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F0-4553-BC45-2DAC3D69E617}"/>
            </c:ext>
          </c:extLst>
        </c:ser>
        <c:ser>
          <c:idx val="3"/>
          <c:order val="3"/>
          <c:tx>
            <c:v>lp steam, ref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40000"/>
                  <a:lumOff val="60000"/>
                </a:schemeClr>
              </a:solidFill>
              <a:ln w="9525">
                <a:solidFill>
                  <a:schemeClr val="accent2">
                    <a:lumMod val="40000"/>
                    <a:lumOff val="60000"/>
                  </a:schemeClr>
                </a:solidFill>
              </a:ln>
              <a:effectLst/>
            </c:spPr>
          </c:marker>
          <c:cat>
            <c:strRef>
              <c:f>Sheet5!$J$5:$J$9</c:f>
              <c:strCache>
                <c:ptCount val="5"/>
                <c:pt idx="0">
                  <c:v>Only utillity</c:v>
                </c:pt>
                <c:pt idx="1">
                  <c:v>Aspen Design</c:v>
                </c:pt>
                <c:pt idx="2">
                  <c:v>Aspen design 2</c:v>
                </c:pt>
                <c:pt idx="3">
                  <c:v>HEN wo. CF</c:v>
                </c:pt>
                <c:pt idx="4">
                  <c:v>HEN w. CF</c:v>
                </c:pt>
              </c:strCache>
            </c:strRef>
          </c:cat>
          <c:val>
            <c:numRef>
              <c:f>Sheet5!$P$5:$P$9</c:f>
              <c:numCache>
                <c:formatCode>0.00E+00</c:formatCode>
                <c:ptCount val="5"/>
                <c:pt idx="0">
                  <c:v>4.1627062356180002E-2</c:v>
                </c:pt>
                <c:pt idx="1">
                  <c:v>4.1627062356180002E-2</c:v>
                </c:pt>
                <c:pt idx="2">
                  <c:v>3.3638530757633997E-2</c:v>
                </c:pt>
                <c:pt idx="3">
                  <c:v>3.1736499424579998E-2</c:v>
                </c:pt>
                <c:pt idx="4">
                  <c:v>3.1736499424579998E-2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4F0-4553-BC45-2DAC3D69E617}"/>
            </c:ext>
          </c:extLst>
        </c:ser>
        <c:ser>
          <c:idx val="4"/>
          <c:order val="4"/>
          <c:tx>
            <c:v>power (110-109), ref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strRef>
              <c:f>Sheet5!$J$11:$J$15</c:f>
              <c:strCache>
                <c:ptCount val="5"/>
                <c:pt idx="0">
                  <c:v>Only utillity</c:v>
                </c:pt>
                <c:pt idx="1">
                  <c:v>Aspen Design</c:v>
                </c:pt>
                <c:pt idx="2">
                  <c:v>Aspen design 2</c:v>
                </c:pt>
                <c:pt idx="3">
                  <c:v>HEN wo. CF</c:v>
                </c:pt>
                <c:pt idx="4">
                  <c:v>HEN w. CF</c:v>
                </c:pt>
              </c:strCache>
            </c:strRef>
          </c:cat>
          <c:val>
            <c:numRef>
              <c:f>Sheet5!$P$11:$P$15</c:f>
              <c:numCache>
                <c:formatCode>0.00E+00</c:formatCode>
                <c:ptCount val="5"/>
                <c:pt idx="0">
                  <c:v>0.18202804335618</c:v>
                </c:pt>
                <c:pt idx="1">
                  <c:v>0.18202804335618</c:v>
                </c:pt>
                <c:pt idx="2">
                  <c:v>0.15294681775777699</c:v>
                </c:pt>
                <c:pt idx="3">
                  <c:v>0.14602271642458001</c:v>
                </c:pt>
                <c:pt idx="4">
                  <c:v>0.14602271642458001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4F0-4553-BC45-2DAC3D69E617}"/>
            </c:ext>
          </c:extLst>
        </c:ser>
        <c:ser>
          <c:idx val="5"/>
          <c:order val="5"/>
          <c:tx>
            <c:v>hot oil, ref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5000"/>
                </a:schemeClr>
              </a:solidFill>
              <a:ln w="9525">
                <a:solidFill>
                  <a:schemeClr val="accent2">
                    <a:lumMod val="75000"/>
                  </a:schemeClr>
                </a:solidFill>
              </a:ln>
              <a:effectLst/>
            </c:spPr>
          </c:marker>
          <c:cat>
            <c:strRef>
              <c:f>Sheet5!$J$17:$J$21</c:f>
              <c:strCache>
                <c:ptCount val="5"/>
                <c:pt idx="0">
                  <c:v>Only utillity</c:v>
                </c:pt>
                <c:pt idx="1">
                  <c:v>Aspen Design</c:v>
                </c:pt>
                <c:pt idx="2">
                  <c:v>Aspen design 2</c:v>
                </c:pt>
                <c:pt idx="3">
                  <c:v>HEN wo. CF</c:v>
                </c:pt>
                <c:pt idx="4">
                  <c:v>HEN w. CF</c:v>
                </c:pt>
              </c:strCache>
            </c:strRef>
          </c:cat>
          <c:val>
            <c:numRef>
              <c:f>Sheet5!$P$17:$P$21</c:f>
              <c:numCache>
                <c:formatCode>0.00E+00</c:formatCode>
                <c:ptCount val="5"/>
                <c:pt idx="0">
                  <c:v>5.7788326356180003E-2</c:v>
                </c:pt>
                <c:pt idx="1">
                  <c:v>5.7788326356180003E-2</c:v>
                </c:pt>
                <c:pt idx="2">
                  <c:v>4.7371858757650501E-2</c:v>
                </c:pt>
                <c:pt idx="3">
                  <c:v>4.4891747424579999E-2</c:v>
                </c:pt>
                <c:pt idx="4">
                  <c:v>4.4891747424579999E-2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4F0-4553-BC45-2DAC3D69E617}"/>
            </c:ext>
          </c:extLst>
        </c:ser>
        <c:ser>
          <c:idx val="6"/>
          <c:order val="6"/>
          <c:tx>
            <c:v>lp team, ref 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 w="9525">
                <a:solidFill>
                  <a:schemeClr val="accent3">
                    <a:lumMod val="40000"/>
                    <a:lumOff val="60000"/>
                  </a:schemeClr>
                </a:solidFill>
              </a:ln>
              <a:effectLst/>
            </c:spPr>
          </c:marker>
          <c:cat>
            <c:strRef>
              <c:f>Sheet5!$Q$5:$Q$9</c:f>
              <c:strCache>
                <c:ptCount val="5"/>
                <c:pt idx="0">
                  <c:v>Only utillity</c:v>
                </c:pt>
                <c:pt idx="1">
                  <c:v>Aspen Design</c:v>
                </c:pt>
                <c:pt idx="2">
                  <c:v>Aspen design 2</c:v>
                </c:pt>
                <c:pt idx="3">
                  <c:v>HEN wo. CF</c:v>
                </c:pt>
                <c:pt idx="4">
                  <c:v>HEN w. CF</c:v>
                </c:pt>
              </c:strCache>
            </c:strRef>
          </c:cat>
          <c:val>
            <c:numRef>
              <c:f>Sheet5!$W$5:$W$9</c:f>
              <c:numCache>
                <c:formatCode>0.00E+00</c:formatCode>
                <c:ptCount val="5"/>
                <c:pt idx="0">
                  <c:v>5.8374394918360002E-2</c:v>
                </c:pt>
                <c:pt idx="1">
                  <c:v>5.8374394918360002E-2</c:v>
                </c:pt>
                <c:pt idx="2">
                  <c:v>4.6574899101239804E-2</c:v>
                </c:pt>
                <c:pt idx="3">
                  <c:v>4.3765495335159998E-2</c:v>
                </c:pt>
                <c:pt idx="4">
                  <c:v>4.3765495335159998E-2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4F0-4553-BC45-2DAC3D69E617}"/>
            </c:ext>
          </c:extLst>
        </c:ser>
        <c:ser>
          <c:idx val="7"/>
          <c:order val="7"/>
          <c:tx>
            <c:v>power (110-109), ref 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strRef>
              <c:f>Sheet5!$Q$11:$Q$15</c:f>
              <c:strCache>
                <c:ptCount val="5"/>
                <c:pt idx="0">
                  <c:v>Only utillity</c:v>
                </c:pt>
                <c:pt idx="1">
                  <c:v>Aspen Design</c:v>
                </c:pt>
                <c:pt idx="2">
                  <c:v>Aspen design 2</c:v>
                </c:pt>
                <c:pt idx="3">
                  <c:v>HEN wo. CF</c:v>
                </c:pt>
                <c:pt idx="4">
                  <c:v>HEN w. CF</c:v>
                </c:pt>
              </c:strCache>
            </c:strRef>
          </c:cat>
          <c:val>
            <c:numRef>
              <c:f>Sheet5!$W$11:$W$15</c:f>
              <c:numCache>
                <c:formatCode>0.00E+00</c:formatCode>
                <c:ptCount val="5"/>
                <c:pt idx="0">
                  <c:v>0.19877537591836</c:v>
                </c:pt>
                <c:pt idx="1">
                  <c:v>0.19877537591836</c:v>
                </c:pt>
                <c:pt idx="2">
                  <c:v>0.165883186101383</c:v>
                </c:pt>
                <c:pt idx="3">
                  <c:v>0.15805171233515999</c:v>
                </c:pt>
                <c:pt idx="4">
                  <c:v>0.15805171233515999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4F0-4553-BC45-2DAC3D69E617}"/>
            </c:ext>
          </c:extLst>
        </c:ser>
        <c:ser>
          <c:idx val="8"/>
          <c:order val="8"/>
          <c:tx>
            <c:v>hot oil, ref 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5000"/>
                </a:schemeClr>
              </a:solidFill>
              <a:ln w="9525">
                <a:solidFill>
                  <a:schemeClr val="accent3">
                    <a:lumMod val="75000"/>
                  </a:schemeClr>
                </a:solidFill>
              </a:ln>
              <a:effectLst/>
            </c:spPr>
          </c:marker>
          <c:cat>
            <c:strRef>
              <c:f>Sheet5!$Q$17:$Q$21</c:f>
              <c:strCache>
                <c:ptCount val="5"/>
                <c:pt idx="0">
                  <c:v>Only utillity</c:v>
                </c:pt>
                <c:pt idx="1">
                  <c:v>Aspen Design</c:v>
                </c:pt>
                <c:pt idx="2">
                  <c:v>Aspen design 2</c:v>
                </c:pt>
                <c:pt idx="3">
                  <c:v>HEN wo. CF</c:v>
                </c:pt>
                <c:pt idx="4">
                  <c:v>HEN w. CF</c:v>
                </c:pt>
              </c:strCache>
            </c:strRef>
          </c:cat>
          <c:val>
            <c:numRef>
              <c:f>Sheet5!$W$17:$W$21</c:f>
              <c:numCache>
                <c:formatCode>0.00E+00</c:formatCode>
                <c:ptCount val="5"/>
                <c:pt idx="0">
                  <c:v>7.4535658918360004E-2</c:v>
                </c:pt>
                <c:pt idx="1">
                  <c:v>7.4535658918360004E-2</c:v>
                </c:pt>
                <c:pt idx="2">
                  <c:v>6.0308227101256301E-2</c:v>
                </c:pt>
                <c:pt idx="3">
                  <c:v>5.692074333516E-2</c:v>
                </c:pt>
                <c:pt idx="4">
                  <c:v>5.692074333516E-2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4F0-4553-BC45-2DAC3D69E6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5404000"/>
        <c:axId val="2085402560"/>
      </c:lineChart>
      <c:catAx>
        <c:axId val="2085404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085402560"/>
        <c:crosses val="autoZero"/>
        <c:auto val="1"/>
        <c:lblAlgn val="ctr"/>
        <c:lblOffset val="100"/>
        <c:noMultiLvlLbl val="0"/>
      </c:catAx>
      <c:valAx>
        <c:axId val="2085402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Operational cost Index (</a:t>
                </a:r>
                <a:r>
                  <a:rPr lang="en-NL" sz="1000" b="0" i="0" u="none" strike="noStrike" baseline="0"/>
                  <a:t>€</a:t>
                </a:r>
                <a:r>
                  <a:rPr lang="en-GB" sz="1000" b="0" i="0" u="none" strike="noStrike" baseline="0"/>
                  <a:t>/s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085404000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layout>
        <c:manualLayout>
          <c:xMode val="edge"/>
          <c:yMode val="edge"/>
          <c:x val="0.77604408385417545"/>
          <c:y val="0.19080112100403077"/>
          <c:w val="0.17525259471487453"/>
          <c:h val="0.486782253179890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687988</xdr:colOff>
      <xdr:row>0</xdr:row>
      <xdr:rowOff>118532</xdr:rowOff>
    </xdr:from>
    <xdr:to>
      <xdr:col>26</xdr:col>
      <xdr:colOff>311727</xdr:colOff>
      <xdr:row>36</xdr:row>
      <xdr:rowOff>39889</xdr:rowOff>
    </xdr:to>
    <xdr:graphicFrame macro="">
      <xdr:nvGraphicFramePr>
        <xdr:cNvPr id="11" name="Chart 9">
          <a:extLst>
            <a:ext uri="{FF2B5EF4-FFF2-40B4-BE49-F238E27FC236}">
              <a16:creationId xmlns:a16="http://schemas.microsoft.com/office/drawing/2014/main" id="{25E40EBB-E1CA-DD72-7962-0DB03BB3C5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704082</xdr:colOff>
      <xdr:row>36</xdr:row>
      <xdr:rowOff>48148</xdr:rowOff>
    </xdr:from>
    <xdr:to>
      <xdr:col>26</xdr:col>
      <xdr:colOff>334818</xdr:colOff>
      <xdr:row>71</xdr:row>
      <xdr:rowOff>178148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7D32CF3A-D802-926F-009A-47D783829E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14713</xdr:colOff>
      <xdr:row>16</xdr:row>
      <xdr:rowOff>77439</xdr:rowOff>
    </xdr:from>
    <xdr:to>
      <xdr:col>18</xdr:col>
      <xdr:colOff>332988</xdr:colOff>
      <xdr:row>34</xdr:row>
      <xdr:rowOff>108415</xdr:rowOff>
    </xdr:to>
    <xdr:graphicFrame macro="">
      <xdr:nvGraphicFramePr>
        <xdr:cNvPr id="8" name="Chart 6">
          <a:extLst>
            <a:ext uri="{FF2B5EF4-FFF2-40B4-BE49-F238E27FC236}">
              <a16:creationId xmlns:a16="http://schemas.microsoft.com/office/drawing/2014/main" id="{A8F52CFC-53C8-51CA-8083-701D402E96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13750</xdr:colOff>
      <xdr:row>0</xdr:row>
      <xdr:rowOff>85183</xdr:rowOff>
    </xdr:from>
    <xdr:to>
      <xdr:col>18</xdr:col>
      <xdr:colOff>325244</xdr:colOff>
      <xdr:row>16</xdr:row>
      <xdr:rowOff>58282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0DFEC6B-ED58-4A70-8974-D4A2F9AD51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83820</xdr:colOff>
      <xdr:row>2</xdr:row>
      <xdr:rowOff>15240</xdr:rowOff>
    </xdr:from>
    <xdr:to>
      <xdr:col>4</xdr:col>
      <xdr:colOff>83820</xdr:colOff>
      <xdr:row>5</xdr:row>
      <xdr:rowOff>167640</xdr:rowOff>
    </xdr:to>
    <xdr:cxnSp macro="">
      <xdr:nvCxnSpPr>
        <xdr:cNvPr id="2" name="Straight Arrow Connector 2">
          <a:extLst>
            <a:ext uri="{FF2B5EF4-FFF2-40B4-BE49-F238E27FC236}">
              <a16:creationId xmlns:a16="http://schemas.microsoft.com/office/drawing/2014/main" id="{9184DEA7-EFCB-9DD2-76A3-65F9EA8E61FD}"/>
            </a:ext>
          </a:extLst>
        </xdr:cNvPr>
        <xdr:cNvCxnSpPr/>
      </xdr:nvCxnSpPr>
      <xdr:spPr>
        <a:xfrm>
          <a:off x="3108960" y="381000"/>
          <a:ext cx="0" cy="7010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99060</xdr:colOff>
      <xdr:row>4</xdr:row>
      <xdr:rowOff>15240</xdr:rowOff>
    </xdr:from>
    <xdr:to>
      <xdr:col>5</xdr:col>
      <xdr:colOff>99060</xdr:colOff>
      <xdr:row>6</xdr:row>
      <xdr:rowOff>160020</xdr:rowOff>
    </xdr:to>
    <xdr:cxnSp macro="">
      <xdr:nvCxnSpPr>
        <xdr:cNvPr id="6" name="Straight Arrow Connector 3">
          <a:extLst>
            <a:ext uri="{FF2B5EF4-FFF2-40B4-BE49-F238E27FC236}">
              <a16:creationId xmlns:a16="http://schemas.microsoft.com/office/drawing/2014/main" id="{81FD0712-1045-4BBC-9336-6A3EADBF6A8E}"/>
            </a:ext>
          </a:extLst>
        </xdr:cNvPr>
        <xdr:cNvCxnSpPr/>
      </xdr:nvCxnSpPr>
      <xdr:spPr>
        <a:xfrm>
          <a:off x="3314700" y="746760"/>
          <a:ext cx="0" cy="5105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99060</xdr:colOff>
      <xdr:row>1</xdr:row>
      <xdr:rowOff>30480</xdr:rowOff>
    </xdr:from>
    <xdr:to>
      <xdr:col>7</xdr:col>
      <xdr:colOff>99060</xdr:colOff>
      <xdr:row>3</xdr:row>
      <xdr:rowOff>0</xdr:rowOff>
    </xdr:to>
    <xdr:cxnSp macro="">
      <xdr:nvCxnSpPr>
        <xdr:cNvPr id="16" name="Straight Arrow Connector 6">
          <a:extLst>
            <a:ext uri="{FF2B5EF4-FFF2-40B4-BE49-F238E27FC236}">
              <a16:creationId xmlns:a16="http://schemas.microsoft.com/office/drawing/2014/main" id="{B4A5F8F5-2EEC-0A9D-5C9C-EA5F8F84AE1C}"/>
            </a:ext>
          </a:extLst>
        </xdr:cNvPr>
        <xdr:cNvCxnSpPr/>
      </xdr:nvCxnSpPr>
      <xdr:spPr>
        <a:xfrm>
          <a:off x="3695700" y="213360"/>
          <a:ext cx="0" cy="33528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91440</xdr:colOff>
      <xdr:row>3</xdr:row>
      <xdr:rowOff>7620</xdr:rowOff>
    </xdr:from>
    <xdr:to>
      <xdr:col>6</xdr:col>
      <xdr:colOff>91440</xdr:colOff>
      <xdr:row>4</xdr:row>
      <xdr:rowOff>160020</xdr:rowOff>
    </xdr:to>
    <xdr:cxnSp macro="">
      <xdr:nvCxnSpPr>
        <xdr:cNvPr id="15" name="Straight Arrow Connector 11">
          <a:extLst>
            <a:ext uri="{FF2B5EF4-FFF2-40B4-BE49-F238E27FC236}">
              <a16:creationId xmlns:a16="http://schemas.microsoft.com/office/drawing/2014/main" id="{ABCE24D9-CA09-4287-BC61-54B9C208C839}"/>
            </a:ext>
          </a:extLst>
        </xdr:cNvPr>
        <xdr:cNvCxnSpPr/>
      </xdr:nvCxnSpPr>
      <xdr:spPr>
        <a:xfrm>
          <a:off x="3497580" y="556260"/>
          <a:ext cx="0" cy="33528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114300</xdr:colOff>
      <xdr:row>11</xdr:row>
      <xdr:rowOff>0</xdr:rowOff>
    </xdr:from>
    <xdr:to>
      <xdr:col>11</xdr:col>
      <xdr:colOff>114300</xdr:colOff>
      <xdr:row>12</xdr:row>
      <xdr:rowOff>0</xdr:rowOff>
    </xdr:to>
    <xdr:cxnSp macro="">
      <xdr:nvCxnSpPr>
        <xdr:cNvPr id="21" name="Straight Arrow Connector 13">
          <a:extLst>
            <a:ext uri="{FF2B5EF4-FFF2-40B4-BE49-F238E27FC236}">
              <a16:creationId xmlns:a16="http://schemas.microsoft.com/office/drawing/2014/main" id="{89F5ACE2-96E4-40E9-E432-B9E258993AEE}"/>
            </a:ext>
          </a:extLst>
        </xdr:cNvPr>
        <xdr:cNvCxnSpPr/>
      </xdr:nvCxnSpPr>
      <xdr:spPr>
        <a:xfrm flipV="1">
          <a:off x="4472940" y="2011680"/>
          <a:ext cx="0" cy="182880"/>
        </a:xfrm>
        <a:prstGeom prst="straightConnector1">
          <a:avLst/>
        </a:prstGeom>
        <a:ln>
          <a:solidFill>
            <a:schemeClr val="accent2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106680</xdr:colOff>
      <xdr:row>9</xdr:row>
      <xdr:rowOff>0</xdr:rowOff>
    </xdr:from>
    <xdr:to>
      <xdr:col>10</xdr:col>
      <xdr:colOff>114300</xdr:colOff>
      <xdr:row>10</xdr:row>
      <xdr:rowOff>167640</xdr:rowOff>
    </xdr:to>
    <xdr:cxnSp macro="">
      <xdr:nvCxnSpPr>
        <xdr:cNvPr id="25" name="Straight Arrow Connector 15">
          <a:extLst>
            <a:ext uri="{FF2B5EF4-FFF2-40B4-BE49-F238E27FC236}">
              <a16:creationId xmlns:a16="http://schemas.microsoft.com/office/drawing/2014/main" id="{4375630A-0069-470D-B3E7-A261BB2E08A7}"/>
            </a:ext>
          </a:extLst>
        </xdr:cNvPr>
        <xdr:cNvCxnSpPr/>
      </xdr:nvCxnSpPr>
      <xdr:spPr>
        <a:xfrm flipV="1">
          <a:off x="4274820" y="1645920"/>
          <a:ext cx="7620" cy="350520"/>
        </a:xfrm>
        <a:prstGeom prst="straightConnector1">
          <a:avLst/>
        </a:prstGeom>
        <a:ln>
          <a:solidFill>
            <a:schemeClr val="accent2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91440</xdr:colOff>
      <xdr:row>7</xdr:row>
      <xdr:rowOff>22860</xdr:rowOff>
    </xdr:from>
    <xdr:to>
      <xdr:col>9</xdr:col>
      <xdr:colOff>91440</xdr:colOff>
      <xdr:row>9</xdr:row>
      <xdr:rowOff>160020</xdr:rowOff>
    </xdr:to>
    <xdr:cxnSp macro="">
      <xdr:nvCxnSpPr>
        <xdr:cNvPr id="29" name="Straight Arrow Connector 17">
          <a:extLst>
            <a:ext uri="{FF2B5EF4-FFF2-40B4-BE49-F238E27FC236}">
              <a16:creationId xmlns:a16="http://schemas.microsoft.com/office/drawing/2014/main" id="{EF98629A-3051-4D8C-ABEB-071E1A993D82}"/>
            </a:ext>
          </a:extLst>
        </xdr:cNvPr>
        <xdr:cNvCxnSpPr/>
      </xdr:nvCxnSpPr>
      <xdr:spPr>
        <a:xfrm flipV="1">
          <a:off x="4069080" y="1303020"/>
          <a:ext cx="0" cy="502920"/>
        </a:xfrm>
        <a:prstGeom prst="straightConnector1">
          <a:avLst/>
        </a:prstGeom>
        <a:ln>
          <a:solidFill>
            <a:schemeClr val="accent2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106680</xdr:colOff>
      <xdr:row>4</xdr:row>
      <xdr:rowOff>0</xdr:rowOff>
    </xdr:from>
    <xdr:to>
      <xdr:col>8</xdr:col>
      <xdr:colOff>114300</xdr:colOff>
      <xdr:row>9</xdr:row>
      <xdr:rowOff>0</xdr:rowOff>
    </xdr:to>
    <xdr:cxnSp macro="">
      <xdr:nvCxnSpPr>
        <xdr:cNvPr id="31" name="Straight Arrow Connector 19">
          <a:extLst>
            <a:ext uri="{FF2B5EF4-FFF2-40B4-BE49-F238E27FC236}">
              <a16:creationId xmlns:a16="http://schemas.microsoft.com/office/drawing/2014/main" id="{65EF87F1-D3AF-46EA-BA69-5061DAFAE352}"/>
            </a:ext>
          </a:extLst>
        </xdr:cNvPr>
        <xdr:cNvCxnSpPr/>
      </xdr:nvCxnSpPr>
      <xdr:spPr>
        <a:xfrm flipV="1">
          <a:off x="3893820" y="731520"/>
          <a:ext cx="7620" cy="914400"/>
        </a:xfrm>
        <a:prstGeom prst="straightConnector1">
          <a:avLst/>
        </a:prstGeom>
        <a:ln>
          <a:solidFill>
            <a:schemeClr val="accent2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13444</xdr:colOff>
      <xdr:row>21</xdr:row>
      <xdr:rowOff>8966</xdr:rowOff>
    </xdr:from>
    <xdr:to>
      <xdr:col>11</xdr:col>
      <xdr:colOff>143436</xdr:colOff>
      <xdr:row>43</xdr:row>
      <xdr:rowOff>26895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78A5D8-3F95-7C33-515B-9A57DBCCF5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596153</xdr:colOff>
      <xdr:row>21</xdr:row>
      <xdr:rowOff>74280</xdr:rowOff>
    </xdr:from>
    <xdr:to>
      <xdr:col>22</xdr:col>
      <xdr:colOff>932334</xdr:colOff>
      <xdr:row>43</xdr:row>
      <xdr:rowOff>92209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4E5F529-37AE-4E92-93BD-72047F46EB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8616</xdr:colOff>
      <xdr:row>43</xdr:row>
      <xdr:rowOff>10887</xdr:rowOff>
    </xdr:from>
    <xdr:to>
      <xdr:col>9</xdr:col>
      <xdr:colOff>370818</xdr:colOff>
      <xdr:row>65</xdr:row>
      <xdr:rowOff>28816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7FF2B5F-0F11-4BBE-B06C-843A0E6295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Kay den Haan" id="{E7BBD1E4-854B-4D24-A346-93943A071F37}" userId="S::kahaan@tudelft.nl::fca10538-3284-429c-8b8d-68bbdc39a289" providerId="AD"/>
  <person displayName="Olov Folmer" id="{C5106BC8-628B-4F5B-B391-F45D6596C2A1}" userId="S::ofolmer@tudelft.nl::f80c4acb-9d27-4c25-b956-8674fd58173e" providerId="AD"/>
  <person displayName="Jeanneau Ham" id="{6A26D73C-16BD-409B-83BE-A826B4D844D4}" userId="S::jeanneauham@tudelft.nl::8b03b9f1-3ac1-4b92-a44a-e40018beac4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15" dT="2026-06-16T09:40:57.06" personId="{C5106BC8-628B-4F5B-B391-F45D6596C2A1}" id="{C8C36D7F-FC1C-4BD6-A03B-2623626B8426}">
    <text xml:space="preserve">Biggest negative value, otherwise 0.Adjusted residual heat(sigma delta H*) is adding up the interval enthalpies
</text>
  </threadedComment>
  <threadedComment ref="AH15" dT="2026-06-16T09:40:57.06" personId="{C5106BC8-628B-4F5B-B391-F45D6596C2A1}" id="{75B9E000-C392-4418-A696-6F632F58D6D4}">
    <text xml:space="preserve">Biggest negative value, otherwise 0.Adjusted residual heat(sigma delta H*) is adding up the interval enthalpies
</text>
  </threadedComment>
  <threadedComment ref="P16" dT="2026-06-16T09:47:35.05" personId="{C5106BC8-628B-4F5B-B391-F45D6596C2A1}" id="{CCE59064-E81A-4B4A-8DE0-509E0F6C79A9}">
    <text xml:space="preserve">Heating requirement
</text>
  </threadedComment>
  <threadedComment ref="P16" dT="2026-06-16T13:02:50.94" personId="{E7BBD1E4-854B-4D24-A346-93943A071F37}" id="{5771C360-BB12-4308-8074-34D3BA104398}" parentId="{CCE59064-E81A-4B4A-8DE0-509E0F6C79A9}">
    <text>The most negative number tells us what the required amount of additional hot utility.</text>
  </threadedComment>
  <threadedComment ref="AH16" dT="2026-06-16T09:47:35.05" personId="{C5106BC8-628B-4F5B-B391-F45D6596C2A1}" id="{7DC721AC-D66C-4309-ACA0-792A2D939260}">
    <text xml:space="preserve">Heating requirement
</text>
  </threadedComment>
  <threadedComment ref="AH36" dT="2026-06-16T09:47:56.08" personId="{C5106BC8-628B-4F5B-B391-F45D6596C2A1}" id="{461CD2FF-D7B7-442C-A590-13CF35EBA010}">
    <text>Cooling requirement</text>
  </threadedComment>
  <threadedComment ref="P38" dT="2026-06-16T09:47:56.08" personId="{C5106BC8-628B-4F5B-B391-F45D6596C2A1}" id="{4310CC2B-9752-47A9-B09E-3490C10B83C2}">
    <text>Cooling requirement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1" dT="2026-06-16T11:48:44.87" personId="{6A26D73C-16BD-409B-83BE-A826B4D844D4}" id="{6C1266D7-C0A3-4DF5-8F2D-32A024C2AF3F}">
    <text>Methode gevonden van YT om overzichtelijker om te gaan met de Heat Capacities.</text>
  </threadedComment>
  <threadedComment ref="D1" dT="2026-06-16T11:50:17.63" personId="{6A26D73C-16BD-409B-83BE-A826B4D844D4}" id="{31A36F33-EE04-4D88-BFE3-5B74FF25324B}" parentId="{6C1266D7-C0A3-4DF5-8F2D-32A024C2AF3F}">
    <text>Alle stromen worden van bijgehouden in welke temperatuur intervallen ze bestaan en daarvan kan de delta cp berekent worden om makkelijk een tabel op te zetten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Relationship Id="rId4" Type="http://schemas.microsoft.com/office/2017/10/relationships/threadedComment" Target="../threadedComments/threadedComment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A61A4-031D-42ED-9AB1-AE304D457039}">
  <dimension ref="A2:AD56"/>
  <sheetViews>
    <sheetView topLeftCell="A24" zoomScale="55" zoomScaleNormal="55" workbookViewId="0">
      <selection activeCell="B3" sqref="B3:G11"/>
    </sheetView>
  </sheetViews>
  <sheetFormatPr defaultRowHeight="14.4" x14ac:dyDescent="0.3"/>
  <cols>
    <col min="1" max="1" width="10.6640625" bestFit="1" customWidth="1"/>
    <col min="2" max="2" width="12.5546875" bestFit="1" customWidth="1"/>
    <col min="3" max="3" width="23.5546875" bestFit="1" customWidth="1"/>
    <col min="4" max="4" width="13.21875" bestFit="1" customWidth="1"/>
    <col min="5" max="5" width="12.44140625" customWidth="1"/>
    <col min="8" max="8" width="14.21875" bestFit="1" customWidth="1"/>
    <col min="17" max="17" width="13.21875" bestFit="1" customWidth="1"/>
    <col min="24" max="24" width="9.77734375" customWidth="1"/>
  </cols>
  <sheetData>
    <row r="2" spans="1:30" x14ac:dyDescent="0.3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AC2" s="36" t="s">
        <v>47</v>
      </c>
      <c r="AD2" s="36" t="s">
        <v>41</v>
      </c>
    </row>
    <row r="3" spans="1:30" ht="15.6" x14ac:dyDescent="0.35">
      <c r="A3" s="35"/>
      <c r="B3" s="93" t="s">
        <v>0</v>
      </c>
      <c r="C3" s="93" t="s">
        <v>1</v>
      </c>
      <c r="D3" s="93" t="s">
        <v>61</v>
      </c>
      <c r="E3" s="93" t="s">
        <v>60</v>
      </c>
      <c r="F3" s="93" t="s">
        <v>18</v>
      </c>
      <c r="G3" s="93" t="s">
        <v>2</v>
      </c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AC3" s="36">
        <v>63</v>
      </c>
      <c r="AD3" s="36">
        <v>1000</v>
      </c>
    </row>
    <row r="4" spans="1:30" x14ac:dyDescent="0.3">
      <c r="A4" s="35"/>
      <c r="B4" s="93" t="s">
        <v>65</v>
      </c>
      <c r="C4" s="93" t="s">
        <v>24</v>
      </c>
      <c r="D4" s="93">
        <v>73</v>
      </c>
      <c r="E4" s="93">
        <v>93</v>
      </c>
      <c r="F4" s="93">
        <v>324.8</v>
      </c>
      <c r="G4" s="93">
        <f t="shared" ref="G4:G11" si="0">F4/(E4-D4)</f>
        <v>16.240000000000002</v>
      </c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AC4" s="36">
        <v>73</v>
      </c>
      <c r="AD4" s="36">
        <f>D29+AD3</f>
        <v>3202.666666666667</v>
      </c>
    </row>
    <row r="5" spans="1:30" x14ac:dyDescent="0.3">
      <c r="A5" s="35"/>
      <c r="B5" s="93" t="s">
        <v>66</v>
      </c>
      <c r="C5" s="93" t="s">
        <v>3</v>
      </c>
      <c r="D5" s="93">
        <v>63</v>
      </c>
      <c r="E5" s="93">
        <v>78</v>
      </c>
      <c r="F5" s="93">
        <v>3304</v>
      </c>
      <c r="G5" s="93">
        <f t="shared" si="0"/>
        <v>220.26666666666668</v>
      </c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AC5" s="36">
        <v>78</v>
      </c>
      <c r="AD5" s="36">
        <f>D30+AD4</f>
        <v>4385.2000000000007</v>
      </c>
    </row>
    <row r="6" spans="1:30" x14ac:dyDescent="0.3">
      <c r="A6" s="35"/>
      <c r="B6" s="93" t="s">
        <v>67</v>
      </c>
      <c r="C6" s="93" t="s">
        <v>6</v>
      </c>
      <c r="D6" s="93">
        <v>78</v>
      </c>
      <c r="E6" s="93">
        <v>90</v>
      </c>
      <c r="F6" s="93">
        <v>748.8</v>
      </c>
      <c r="G6" s="93">
        <f t="shared" si="0"/>
        <v>62.4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AC6" s="36">
        <v>90</v>
      </c>
      <c r="AD6" s="36">
        <f>D31+AD5</f>
        <v>5328.880000000001</v>
      </c>
    </row>
    <row r="7" spans="1:30" x14ac:dyDescent="0.3">
      <c r="A7" s="35"/>
      <c r="B7" s="93" t="s">
        <v>68</v>
      </c>
      <c r="C7" s="93" t="s">
        <v>10</v>
      </c>
      <c r="D7" s="93">
        <v>90</v>
      </c>
      <c r="E7" s="93">
        <v>100</v>
      </c>
      <c r="F7" s="93">
        <v>5723.2</v>
      </c>
      <c r="G7" s="93">
        <f t="shared" si="0"/>
        <v>572.31999999999994</v>
      </c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AC7" s="36">
        <v>93</v>
      </c>
      <c r="AD7" s="36">
        <f>D32+AD6</f>
        <v>7094.5600000000013</v>
      </c>
    </row>
    <row r="8" spans="1:30" x14ac:dyDescent="0.3">
      <c r="A8" s="35"/>
      <c r="B8" s="93" t="s">
        <v>69</v>
      </c>
      <c r="C8" s="93" t="s">
        <v>8</v>
      </c>
      <c r="D8" s="93">
        <v>98</v>
      </c>
      <c r="E8" s="93">
        <v>13</v>
      </c>
      <c r="F8" s="93">
        <v>-6142.4</v>
      </c>
      <c r="G8" s="93">
        <f t="shared" si="0"/>
        <v>72.263529411764708</v>
      </c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AC8" s="36">
        <v>100</v>
      </c>
      <c r="AD8" s="36">
        <f>D33+AD7</f>
        <v>11100.800000000001</v>
      </c>
    </row>
    <row r="9" spans="1:30" x14ac:dyDescent="0.3">
      <c r="A9" s="35"/>
      <c r="B9" s="93" t="s">
        <v>70</v>
      </c>
      <c r="C9" s="93" t="s">
        <v>13</v>
      </c>
      <c r="D9" s="93">
        <v>14</v>
      </c>
      <c r="E9" s="93">
        <v>7</v>
      </c>
      <c r="F9" s="93">
        <v>-51.2</v>
      </c>
      <c r="G9" s="93">
        <f t="shared" si="0"/>
        <v>7.3142857142857149</v>
      </c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</row>
    <row r="10" spans="1:30" x14ac:dyDescent="0.3">
      <c r="A10" s="35"/>
      <c r="B10" s="93" t="s">
        <v>71</v>
      </c>
      <c r="C10" s="93" t="s">
        <v>14</v>
      </c>
      <c r="D10" s="93">
        <v>7</v>
      </c>
      <c r="E10" s="93">
        <v>-1</v>
      </c>
      <c r="F10" s="93">
        <f>-422.4</f>
        <v>-422.4</v>
      </c>
      <c r="G10" s="93">
        <f t="shared" si="0"/>
        <v>52.8</v>
      </c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</row>
    <row r="11" spans="1:30" x14ac:dyDescent="0.3">
      <c r="A11" s="35"/>
      <c r="B11" s="93" t="s">
        <v>72</v>
      </c>
      <c r="C11" s="93" t="s">
        <v>15</v>
      </c>
      <c r="D11" s="93">
        <v>-1</v>
      </c>
      <c r="E11" s="93">
        <v>-2</v>
      </c>
      <c r="F11" s="93">
        <f>-52.8</f>
        <v>-52.8</v>
      </c>
      <c r="G11" s="93">
        <f t="shared" si="0"/>
        <v>52.8</v>
      </c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</row>
    <row r="12" spans="1:30" x14ac:dyDescent="0.3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</row>
    <row r="13" spans="1:30" x14ac:dyDescent="0.3">
      <c r="A13" s="35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</row>
    <row r="14" spans="1:30" x14ac:dyDescent="0.3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</row>
    <row r="15" spans="1:30" x14ac:dyDescent="0.3">
      <c r="A15" s="35"/>
      <c r="B15" s="36" t="s">
        <v>0</v>
      </c>
      <c r="C15" s="36"/>
      <c r="D15" s="36" t="s">
        <v>18</v>
      </c>
      <c r="E15" s="36" t="s">
        <v>62</v>
      </c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</row>
    <row r="16" spans="1:30" x14ac:dyDescent="0.3">
      <c r="A16" s="35"/>
      <c r="B16" s="36" t="s">
        <v>65</v>
      </c>
      <c r="C16" s="36" t="s">
        <v>42</v>
      </c>
      <c r="D16" s="36">
        <v>0</v>
      </c>
      <c r="E16" s="36">
        <v>73</v>
      </c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</row>
    <row r="17" spans="1:29" x14ac:dyDescent="0.3">
      <c r="A17" s="35"/>
      <c r="B17" s="36"/>
      <c r="C17" s="36" t="s">
        <v>59</v>
      </c>
      <c r="D17" s="36">
        <v>324.8</v>
      </c>
      <c r="E17" s="36">
        <v>93</v>
      </c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AC17" t="s">
        <v>73</v>
      </c>
    </row>
    <row r="18" spans="1:29" x14ac:dyDescent="0.3">
      <c r="A18" s="35"/>
      <c r="B18" s="36"/>
      <c r="C18" s="36"/>
      <c r="D18" s="36"/>
      <c r="E18" s="36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</row>
    <row r="19" spans="1:29" x14ac:dyDescent="0.3">
      <c r="A19" s="35"/>
      <c r="B19" s="36" t="s">
        <v>66</v>
      </c>
      <c r="C19" s="36" t="s">
        <v>42</v>
      </c>
      <c r="D19" s="36">
        <v>100</v>
      </c>
      <c r="E19" s="36">
        <v>63</v>
      </c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</row>
    <row r="20" spans="1:29" x14ac:dyDescent="0.3">
      <c r="A20" s="35"/>
      <c r="B20" s="36"/>
      <c r="C20" s="36" t="s">
        <v>59</v>
      </c>
      <c r="D20" s="36">
        <v>3404</v>
      </c>
      <c r="E20" s="36">
        <v>78</v>
      </c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</row>
    <row r="21" spans="1:29" x14ac:dyDescent="0.3">
      <c r="A21" s="35"/>
      <c r="B21" s="36"/>
      <c r="C21" s="36"/>
      <c r="D21" s="36"/>
      <c r="E21" s="36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</row>
    <row r="22" spans="1:29" x14ac:dyDescent="0.3">
      <c r="A22" s="35"/>
      <c r="B22" s="36" t="s">
        <v>67</v>
      </c>
      <c r="C22" s="36" t="s">
        <v>42</v>
      </c>
      <c r="D22" s="36">
        <v>200</v>
      </c>
      <c r="E22" s="36">
        <v>78</v>
      </c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</row>
    <row r="23" spans="1:29" x14ac:dyDescent="0.3">
      <c r="A23" s="35"/>
      <c r="B23" s="36"/>
      <c r="C23" s="36" t="s">
        <v>59</v>
      </c>
      <c r="D23" s="36">
        <v>948.8</v>
      </c>
      <c r="E23" s="36">
        <v>90</v>
      </c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</row>
    <row r="24" spans="1:29" x14ac:dyDescent="0.3">
      <c r="A24" s="35"/>
      <c r="B24" s="36"/>
      <c r="C24" s="36"/>
      <c r="D24" s="36"/>
      <c r="E24" s="36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</row>
    <row r="25" spans="1:29" x14ac:dyDescent="0.3">
      <c r="A25" s="35"/>
      <c r="B25" s="36" t="s">
        <v>68</v>
      </c>
      <c r="C25" s="36" t="s">
        <v>42</v>
      </c>
      <c r="D25" s="36">
        <v>300</v>
      </c>
      <c r="E25" s="36">
        <v>90</v>
      </c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</row>
    <row r="26" spans="1:29" x14ac:dyDescent="0.3">
      <c r="A26" s="35"/>
      <c r="B26" s="36"/>
      <c r="C26" s="36" t="s">
        <v>59</v>
      </c>
      <c r="D26" s="36">
        <f>5723.2+D25</f>
        <v>6023.2</v>
      </c>
      <c r="E26" s="36">
        <v>100</v>
      </c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</row>
    <row r="27" spans="1:29" x14ac:dyDescent="0.3">
      <c r="A27" s="36" t="s">
        <v>48</v>
      </c>
      <c r="B27" s="36"/>
      <c r="C27" s="36"/>
      <c r="D27" s="36"/>
      <c r="E27" s="36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</row>
    <row r="28" spans="1:29" x14ac:dyDescent="0.3">
      <c r="A28" s="36" t="s">
        <v>45</v>
      </c>
      <c r="B28" s="36" t="s">
        <v>44</v>
      </c>
      <c r="C28" s="36" t="s">
        <v>43</v>
      </c>
      <c r="D28" s="36" t="s">
        <v>41</v>
      </c>
      <c r="E28" s="36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</row>
    <row r="29" spans="1:29" x14ac:dyDescent="0.3">
      <c r="A29" s="36" t="s">
        <v>50</v>
      </c>
      <c r="B29" s="36">
        <f>73-63</f>
        <v>10</v>
      </c>
      <c r="C29" s="36">
        <f>G5</f>
        <v>220.26666666666668</v>
      </c>
      <c r="D29" s="36">
        <f>B29*C29</f>
        <v>2202.666666666667</v>
      </c>
      <c r="E29" s="36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</row>
    <row r="30" spans="1:29" x14ac:dyDescent="0.3">
      <c r="A30" s="36" t="s">
        <v>51</v>
      </c>
      <c r="B30" s="36">
        <f>78-73</f>
        <v>5</v>
      </c>
      <c r="C30" s="36">
        <f>G4+G5</f>
        <v>236.50666666666669</v>
      </c>
      <c r="D30" s="36">
        <f t="shared" ref="D30:D33" si="1">B30*C30</f>
        <v>1182.5333333333335</v>
      </c>
      <c r="E30" s="36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</row>
    <row r="31" spans="1:29" x14ac:dyDescent="0.3">
      <c r="A31" s="36" t="s">
        <v>52</v>
      </c>
      <c r="B31" s="36">
        <f>90-78</f>
        <v>12</v>
      </c>
      <c r="C31" s="36">
        <f>G6+G4</f>
        <v>78.64</v>
      </c>
      <c r="D31" s="36">
        <f t="shared" si="1"/>
        <v>943.68000000000006</v>
      </c>
      <c r="E31" s="36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</row>
    <row r="32" spans="1:29" x14ac:dyDescent="0.3">
      <c r="A32" s="36" t="s">
        <v>53</v>
      </c>
      <c r="B32" s="36">
        <f>93-90</f>
        <v>3</v>
      </c>
      <c r="C32" s="36">
        <f>G7+G4</f>
        <v>588.55999999999995</v>
      </c>
      <c r="D32" s="36">
        <f t="shared" si="1"/>
        <v>1765.6799999999998</v>
      </c>
      <c r="E32" s="36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</row>
    <row r="33" spans="1:30" x14ac:dyDescent="0.3">
      <c r="A33" s="36" t="s">
        <v>54</v>
      </c>
      <c r="B33" s="36">
        <f>100-93</f>
        <v>7</v>
      </c>
      <c r="C33" s="36">
        <f>G7</f>
        <v>572.31999999999994</v>
      </c>
      <c r="D33" s="36">
        <f t="shared" si="1"/>
        <v>4006.24</v>
      </c>
      <c r="E33" s="36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</row>
    <row r="34" spans="1:30" x14ac:dyDescent="0.3">
      <c r="A34" s="36"/>
      <c r="B34" s="36"/>
      <c r="C34" s="36"/>
      <c r="D34" s="36"/>
      <c r="E34" s="36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</row>
    <row r="35" spans="1:30" x14ac:dyDescent="0.3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</row>
    <row r="36" spans="1:30" x14ac:dyDescent="0.3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</row>
    <row r="37" spans="1:30" x14ac:dyDescent="0.3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</row>
    <row r="38" spans="1:30" x14ac:dyDescent="0.3">
      <c r="A38" s="35"/>
      <c r="B38" s="38" t="s">
        <v>0</v>
      </c>
      <c r="C38" s="38"/>
      <c r="D38" s="38" t="s">
        <v>18</v>
      </c>
      <c r="E38" s="38" t="s">
        <v>62</v>
      </c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AC38" s="38" t="s">
        <v>62</v>
      </c>
      <c r="AD38" s="38" t="s">
        <v>41</v>
      </c>
    </row>
    <row r="39" spans="1:30" x14ac:dyDescent="0.3">
      <c r="A39" s="35"/>
      <c r="B39" s="38" t="s">
        <v>69</v>
      </c>
      <c r="C39" s="38" t="s">
        <v>42</v>
      </c>
      <c r="D39" s="38">
        <v>0</v>
      </c>
      <c r="E39" s="38">
        <v>98</v>
      </c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AC39" s="38">
        <v>98</v>
      </c>
      <c r="AD39" s="38">
        <v>1000</v>
      </c>
    </row>
    <row r="40" spans="1:30" x14ac:dyDescent="0.3">
      <c r="A40" s="35"/>
      <c r="B40" s="38"/>
      <c r="C40" s="38" t="s">
        <v>59</v>
      </c>
      <c r="D40" s="38">
        <v>-6142.4</v>
      </c>
      <c r="E40" s="38">
        <v>13</v>
      </c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AC40" s="38">
        <v>14</v>
      </c>
      <c r="AD40" s="38">
        <f>AD39+D52</f>
        <v>-5070.1364705882352</v>
      </c>
    </row>
    <row r="41" spans="1:30" x14ac:dyDescent="0.3">
      <c r="A41" s="35"/>
      <c r="B41" s="38"/>
      <c r="C41" s="38"/>
      <c r="D41" s="38"/>
      <c r="E41" s="38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AC41" s="38">
        <v>13</v>
      </c>
      <c r="AD41" s="38">
        <f>AD40+D53</f>
        <v>-5149.7142857142853</v>
      </c>
    </row>
    <row r="42" spans="1:30" x14ac:dyDescent="0.3">
      <c r="A42" s="35"/>
      <c r="B42" s="38" t="s">
        <v>70</v>
      </c>
      <c r="C42" s="38" t="s">
        <v>42</v>
      </c>
      <c r="D42" s="38">
        <v>100</v>
      </c>
      <c r="E42" s="38">
        <v>14</v>
      </c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AC42" s="38">
        <v>7</v>
      </c>
      <c r="AD42" s="38">
        <f>AD41+D54</f>
        <v>-5193.5999999999995</v>
      </c>
    </row>
    <row r="43" spans="1:30" x14ac:dyDescent="0.3">
      <c r="A43" s="35"/>
      <c r="B43" s="38"/>
      <c r="C43" s="38" t="s">
        <v>59</v>
      </c>
      <c r="D43" s="38">
        <f>100-51.2</f>
        <v>48.8</v>
      </c>
      <c r="E43" s="38">
        <v>7</v>
      </c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AC43" s="38">
        <v>-2</v>
      </c>
      <c r="AD43" s="38">
        <f>AD42+D55</f>
        <v>-5668.7999999999993</v>
      </c>
    </row>
    <row r="44" spans="1:30" x14ac:dyDescent="0.3">
      <c r="A44" s="35"/>
      <c r="B44" s="38"/>
      <c r="C44" s="38"/>
      <c r="D44" s="38"/>
      <c r="E44" s="38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</row>
    <row r="45" spans="1:30" x14ac:dyDescent="0.3">
      <c r="A45" s="35"/>
      <c r="B45" s="38" t="s">
        <v>71</v>
      </c>
      <c r="C45" s="38" t="s">
        <v>42</v>
      </c>
      <c r="D45" s="38">
        <v>200</v>
      </c>
      <c r="E45" s="38">
        <v>7</v>
      </c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</row>
    <row r="46" spans="1:30" x14ac:dyDescent="0.3">
      <c r="A46" s="35"/>
      <c r="B46" s="38"/>
      <c r="C46" s="38" t="s">
        <v>59</v>
      </c>
      <c r="D46" s="38">
        <v>-222.4</v>
      </c>
      <c r="E46" s="38">
        <v>-1</v>
      </c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</row>
    <row r="47" spans="1:30" x14ac:dyDescent="0.3">
      <c r="A47" s="35"/>
      <c r="B47" s="38"/>
      <c r="C47" s="38"/>
      <c r="D47" s="38"/>
      <c r="E47" s="38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</row>
    <row r="48" spans="1:30" x14ac:dyDescent="0.3">
      <c r="A48" s="35"/>
      <c r="B48" s="38" t="s">
        <v>72</v>
      </c>
      <c r="C48" s="38" t="s">
        <v>42</v>
      </c>
      <c r="D48" s="38">
        <v>400</v>
      </c>
      <c r="E48" s="38">
        <v>-1</v>
      </c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</row>
    <row r="49" spans="1:24" x14ac:dyDescent="0.3">
      <c r="A49" s="35"/>
      <c r="B49" s="38"/>
      <c r="C49" s="38" t="s">
        <v>59</v>
      </c>
      <c r="D49" s="38">
        <f>400-52.8</f>
        <v>347.2</v>
      </c>
      <c r="E49" s="38">
        <v>-2</v>
      </c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</row>
    <row r="50" spans="1:24" x14ac:dyDescent="0.3">
      <c r="A50" s="38" t="s">
        <v>49</v>
      </c>
      <c r="B50" s="38"/>
      <c r="C50" s="38"/>
      <c r="D50" s="38"/>
      <c r="E50" s="38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</row>
    <row r="51" spans="1:24" x14ac:dyDescent="0.3">
      <c r="A51" s="38" t="s">
        <v>45</v>
      </c>
      <c r="B51" s="38" t="s">
        <v>44</v>
      </c>
      <c r="C51" s="38" t="s">
        <v>43</v>
      </c>
      <c r="D51" s="38" t="s">
        <v>41</v>
      </c>
      <c r="E51" s="38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</row>
    <row r="52" spans="1:24" x14ac:dyDescent="0.3">
      <c r="A52" s="38" t="s">
        <v>55</v>
      </c>
      <c r="B52" s="38">
        <f>14-98</f>
        <v>-84</v>
      </c>
      <c r="C52" s="38">
        <f>G8</f>
        <v>72.263529411764708</v>
      </c>
      <c r="D52" s="38">
        <f>C52*B52</f>
        <v>-6070.1364705882352</v>
      </c>
      <c r="E52" s="38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</row>
    <row r="53" spans="1:24" x14ac:dyDescent="0.3">
      <c r="A53" s="38" t="s">
        <v>57</v>
      </c>
      <c r="B53" s="38">
        <f>13-14</f>
        <v>-1</v>
      </c>
      <c r="C53" s="38">
        <f>G8+G9</f>
        <v>79.577815126050425</v>
      </c>
      <c r="D53" s="38">
        <f t="shared" ref="D53:D55" si="2">C53*B53</f>
        <v>-79.577815126050425</v>
      </c>
      <c r="E53" s="38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</row>
    <row r="54" spans="1:24" x14ac:dyDescent="0.3">
      <c r="A54" s="38" t="s">
        <v>58</v>
      </c>
      <c r="B54" s="38">
        <f>7-13</f>
        <v>-6</v>
      </c>
      <c r="C54" s="38">
        <f>G9</f>
        <v>7.3142857142857149</v>
      </c>
      <c r="D54" s="38">
        <f t="shared" si="2"/>
        <v>-43.885714285714286</v>
      </c>
      <c r="E54" s="38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</row>
    <row r="55" spans="1:24" x14ac:dyDescent="0.3">
      <c r="A55" s="38" t="s">
        <v>56</v>
      </c>
      <c r="B55" s="38">
        <f>-2-7</f>
        <v>-9</v>
      </c>
      <c r="C55" s="38">
        <f>G10</f>
        <v>52.8</v>
      </c>
      <c r="D55" s="38">
        <f t="shared" si="2"/>
        <v>-475.2</v>
      </c>
      <c r="E55" s="38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</row>
    <row r="56" spans="1:24" x14ac:dyDescent="0.3">
      <c r="D56" s="11"/>
    </row>
  </sheetData>
  <phoneticPr fontId="3" type="noConversion"/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C750C-86C8-4EEC-971B-F73EEC822685}">
  <dimension ref="A1:J22"/>
  <sheetViews>
    <sheetView zoomScale="71" zoomScaleNormal="100" workbookViewId="0">
      <selection activeCell="G28" sqref="G28"/>
    </sheetView>
  </sheetViews>
  <sheetFormatPr defaultRowHeight="14.4" x14ac:dyDescent="0.3"/>
  <cols>
    <col min="1" max="1" width="11" bestFit="1" customWidth="1"/>
    <col min="2" max="2" width="23" customWidth="1"/>
    <col min="3" max="3" width="25.21875" bestFit="1" customWidth="1"/>
    <col min="4" max="4" width="22.109375" customWidth="1"/>
    <col min="5" max="5" width="12" customWidth="1"/>
    <col min="6" max="7" width="14.5546875" customWidth="1"/>
    <col min="8" max="8" width="13.5546875" customWidth="1"/>
    <col min="9" max="9" width="13.77734375" customWidth="1"/>
    <col min="10" max="10" width="13.88671875" customWidth="1"/>
  </cols>
  <sheetData>
    <row r="1" spans="1:10" x14ac:dyDescent="0.3">
      <c r="B1" s="94" t="s">
        <v>27</v>
      </c>
      <c r="C1" s="94"/>
      <c r="D1" s="94"/>
      <c r="E1" s="94"/>
      <c r="F1" s="94"/>
      <c r="G1" s="94"/>
    </row>
    <row r="2" spans="1:10" ht="15.6" x14ac:dyDescent="0.35">
      <c r="B2" s="9" t="s">
        <v>0</v>
      </c>
      <c r="C2" s="9" t="s">
        <v>1</v>
      </c>
      <c r="D2" s="10" t="s">
        <v>17</v>
      </c>
      <c r="E2" s="10" t="s">
        <v>16</v>
      </c>
      <c r="F2" s="10" t="s">
        <v>18</v>
      </c>
      <c r="G2" s="10" t="s">
        <v>2</v>
      </c>
      <c r="H2" s="76" t="s">
        <v>102</v>
      </c>
    </row>
    <row r="3" spans="1:10" x14ac:dyDescent="0.3">
      <c r="A3" t="s">
        <v>49</v>
      </c>
      <c r="B3" s="14" t="s">
        <v>23</v>
      </c>
      <c r="C3" s="5" t="s">
        <v>24</v>
      </c>
      <c r="D3" s="14">
        <v>73</v>
      </c>
      <c r="E3" s="3">
        <v>93</v>
      </c>
      <c r="F3" s="14">
        <v>324.8</v>
      </c>
      <c r="G3" s="4">
        <f t="shared" ref="G3:G10" si="0">F3/(E3-D3)</f>
        <v>16.240000000000002</v>
      </c>
      <c r="H3">
        <f t="shared" ref="H3:H10" si="1">G3*1000</f>
        <v>16240.000000000002</v>
      </c>
    </row>
    <row r="4" spans="1:10" x14ac:dyDescent="0.3">
      <c r="B4" s="15" t="s">
        <v>4</v>
      </c>
      <c r="C4" s="5" t="s">
        <v>3</v>
      </c>
      <c r="D4" s="15">
        <v>63</v>
      </c>
      <c r="E4" s="5">
        <v>78</v>
      </c>
      <c r="F4" s="15">
        <v>3304</v>
      </c>
      <c r="G4" s="6">
        <f t="shared" si="0"/>
        <v>220.26666666666668</v>
      </c>
      <c r="H4">
        <f t="shared" si="1"/>
        <v>220266.66666666669</v>
      </c>
    </row>
    <row r="5" spans="1:10" x14ac:dyDescent="0.3">
      <c r="B5" s="15" t="s">
        <v>5</v>
      </c>
      <c r="C5" s="5" t="s">
        <v>6</v>
      </c>
      <c r="D5" s="15">
        <v>78</v>
      </c>
      <c r="E5" s="5">
        <v>90</v>
      </c>
      <c r="F5" s="15">
        <v>748.8</v>
      </c>
      <c r="G5" s="6">
        <f t="shared" si="0"/>
        <v>62.4</v>
      </c>
      <c r="H5">
        <f t="shared" si="1"/>
        <v>62400</v>
      </c>
    </row>
    <row r="6" spans="1:10" x14ac:dyDescent="0.3">
      <c r="B6" s="16" t="s">
        <v>9</v>
      </c>
      <c r="C6" s="7" t="s">
        <v>10</v>
      </c>
      <c r="D6" s="16">
        <v>90</v>
      </c>
      <c r="E6" s="7">
        <v>100</v>
      </c>
      <c r="F6" s="16">
        <v>5723.2</v>
      </c>
      <c r="G6" s="8">
        <f t="shared" si="0"/>
        <v>572.31999999999994</v>
      </c>
      <c r="H6">
        <f t="shared" si="1"/>
        <v>572319.99999999988</v>
      </c>
    </row>
    <row r="7" spans="1:10" x14ac:dyDescent="0.3">
      <c r="A7" t="s">
        <v>48</v>
      </c>
      <c r="B7" s="14" t="s">
        <v>7</v>
      </c>
      <c r="C7" s="5" t="s">
        <v>8</v>
      </c>
      <c r="D7" s="15">
        <v>98</v>
      </c>
      <c r="E7" s="5">
        <v>13</v>
      </c>
      <c r="F7" s="15">
        <v>-6142.4</v>
      </c>
      <c r="G7" s="6">
        <f t="shared" si="0"/>
        <v>72.263529411764708</v>
      </c>
      <c r="H7">
        <f t="shared" si="1"/>
        <v>72263.529411764714</v>
      </c>
    </row>
    <row r="8" spans="1:10" x14ac:dyDescent="0.3">
      <c r="B8" s="15" t="s">
        <v>11</v>
      </c>
      <c r="C8" s="5" t="s">
        <v>13</v>
      </c>
      <c r="D8" s="15">
        <v>14</v>
      </c>
      <c r="E8" s="5">
        <v>7</v>
      </c>
      <c r="F8" s="15">
        <v>-51.2</v>
      </c>
      <c r="G8" s="6">
        <f t="shared" si="0"/>
        <v>7.3142857142857149</v>
      </c>
      <c r="H8">
        <f t="shared" si="1"/>
        <v>7314.2857142857147</v>
      </c>
    </row>
    <row r="9" spans="1:10" x14ac:dyDescent="0.3">
      <c r="B9" s="15" t="s">
        <v>12</v>
      </c>
      <c r="C9" s="5" t="s">
        <v>14</v>
      </c>
      <c r="D9" s="15">
        <v>7</v>
      </c>
      <c r="E9" s="5">
        <v>-1</v>
      </c>
      <c r="F9" s="15">
        <f>-422.4</f>
        <v>-422.4</v>
      </c>
      <c r="G9" s="6">
        <f t="shared" si="0"/>
        <v>52.8</v>
      </c>
      <c r="H9">
        <f t="shared" si="1"/>
        <v>52800</v>
      </c>
    </row>
    <row r="10" spans="1:10" x14ac:dyDescent="0.3">
      <c r="B10" s="16" t="s">
        <v>19</v>
      </c>
      <c r="C10" s="7" t="s">
        <v>15</v>
      </c>
      <c r="D10" s="16">
        <v>-1</v>
      </c>
      <c r="E10" s="7">
        <v>-2</v>
      </c>
      <c r="F10" s="16">
        <f>-52.8</f>
        <v>-52.8</v>
      </c>
      <c r="G10" s="8">
        <f t="shared" si="0"/>
        <v>52.8</v>
      </c>
      <c r="H10">
        <f t="shared" si="1"/>
        <v>52800</v>
      </c>
    </row>
    <row r="11" spans="1:10" x14ac:dyDescent="0.3">
      <c r="B11" s="12" t="s">
        <v>25</v>
      </c>
      <c r="C11" s="1"/>
      <c r="D11" s="1"/>
      <c r="E11" s="1"/>
      <c r="F11" s="1"/>
      <c r="G11" s="1"/>
    </row>
    <row r="12" spans="1:10" x14ac:dyDescent="0.3">
      <c r="B12" s="13" t="s">
        <v>20</v>
      </c>
      <c r="C12" s="1">
        <v>63</v>
      </c>
      <c r="D12" s="1">
        <v>78</v>
      </c>
      <c r="E12" s="1">
        <v>90</v>
      </c>
      <c r="F12" s="1">
        <v>100</v>
      </c>
      <c r="G12" s="1"/>
    </row>
    <row r="13" spans="1:10" x14ac:dyDescent="0.3">
      <c r="B13" s="13" t="s">
        <v>21</v>
      </c>
      <c r="C13" s="1">
        <v>0</v>
      </c>
      <c r="D13" s="1">
        <f>F3+C13</f>
        <v>324.8</v>
      </c>
      <c r="E13" s="1">
        <f>SUM(F3:F5)+C13</f>
        <v>4377.6000000000004</v>
      </c>
      <c r="F13" s="1">
        <f>SUM(F3:F6)+C13</f>
        <v>10100.799999999999</v>
      </c>
      <c r="G13" s="1"/>
    </row>
    <row r="14" spans="1:10" x14ac:dyDescent="0.3">
      <c r="B14" s="13" t="s">
        <v>20</v>
      </c>
      <c r="C14" s="1">
        <v>-2</v>
      </c>
      <c r="D14" s="1">
        <v>-1</v>
      </c>
      <c r="E14" s="1">
        <v>7</v>
      </c>
      <c r="F14" s="1">
        <v>14</v>
      </c>
      <c r="G14" s="1">
        <v>98</v>
      </c>
    </row>
    <row r="15" spans="1:10" x14ac:dyDescent="0.3">
      <c r="B15" s="13" t="s">
        <v>22</v>
      </c>
      <c r="C15" s="1">
        <v>0</v>
      </c>
      <c r="D15" s="1">
        <f>ABS(F10)+C15</f>
        <v>52.8</v>
      </c>
      <c r="E15" s="1">
        <f>ABS(F10-F9)+C15</f>
        <v>369.59999999999997</v>
      </c>
      <c r="F15" s="1">
        <f>ABS(F10-F9-F8)+C15</f>
        <v>420.79999999999995</v>
      </c>
      <c r="G15" s="1">
        <f>ABS(F10-F9-F8-F7)+C15</f>
        <v>6563.2</v>
      </c>
    </row>
    <row r="16" spans="1:10" x14ac:dyDescent="0.3">
      <c r="B16" s="95" t="s">
        <v>26</v>
      </c>
      <c r="C16" s="96"/>
      <c r="D16" s="96"/>
      <c r="E16" s="96"/>
      <c r="F16" s="96"/>
      <c r="G16" s="96"/>
      <c r="H16" s="96"/>
      <c r="I16" s="96"/>
      <c r="J16" s="97"/>
    </row>
    <row r="17" spans="2:10" ht="34.200000000000003" customHeight="1" x14ac:dyDescent="0.3">
      <c r="B17" s="98" t="s">
        <v>36</v>
      </c>
      <c r="C17" s="32" t="s">
        <v>40</v>
      </c>
      <c r="D17" s="29" t="s">
        <v>28</v>
      </c>
      <c r="E17" s="30" t="s">
        <v>4</v>
      </c>
      <c r="F17" s="30" t="s">
        <v>37</v>
      </c>
      <c r="G17" s="30" t="s">
        <v>31</v>
      </c>
      <c r="H17" s="30" t="s">
        <v>32</v>
      </c>
      <c r="I17" s="30" t="s">
        <v>9</v>
      </c>
      <c r="J17" s="31" t="s">
        <v>33</v>
      </c>
    </row>
    <row r="18" spans="2:10" ht="15.6" x14ac:dyDescent="0.3">
      <c r="B18" s="99"/>
      <c r="C18" s="33" t="s">
        <v>46</v>
      </c>
      <c r="D18" s="20" t="s">
        <v>30</v>
      </c>
      <c r="E18" s="2">
        <v>63</v>
      </c>
      <c r="F18" s="2">
        <v>73</v>
      </c>
      <c r="G18" s="2">
        <v>78</v>
      </c>
      <c r="H18" s="2">
        <v>90</v>
      </c>
      <c r="I18" s="2">
        <v>93</v>
      </c>
      <c r="J18" s="20">
        <v>100</v>
      </c>
    </row>
    <row r="19" spans="2:10" ht="14.4" customHeight="1" x14ac:dyDescent="0.3">
      <c r="B19" s="100"/>
      <c r="C19" s="34">
        <v>0</v>
      </c>
      <c r="D19" s="19" t="s">
        <v>29</v>
      </c>
      <c r="E19" s="2">
        <f>C19 + ((F18-E18)*G4)</f>
        <v>2202.666666666667</v>
      </c>
      <c r="F19" s="2">
        <f>E19 + ((G18-F18)*(G4+G3))</f>
        <v>3385.2000000000007</v>
      </c>
      <c r="G19" s="2">
        <f>F19+((H18-G18)*(G3+G5))</f>
        <v>4328.880000000001</v>
      </c>
      <c r="H19" s="2">
        <f>G19+((I18-H18)*(G3+G6))</f>
        <v>6094.5600000000013</v>
      </c>
      <c r="I19" s="2">
        <f>H19+((J18-I18)*G6)</f>
        <v>10100.800000000001</v>
      </c>
      <c r="J19" s="20"/>
    </row>
    <row r="20" spans="2:10" ht="29.4" customHeight="1" x14ac:dyDescent="0.3">
      <c r="B20" s="101" t="s">
        <v>35</v>
      </c>
      <c r="C20" s="28" t="s">
        <v>40</v>
      </c>
      <c r="D20" s="25" t="s">
        <v>28</v>
      </c>
      <c r="E20" s="23" t="s">
        <v>19</v>
      </c>
      <c r="F20" s="23" t="s">
        <v>12</v>
      </c>
      <c r="G20" s="23" t="s">
        <v>38</v>
      </c>
      <c r="H20" s="23" t="s">
        <v>39</v>
      </c>
      <c r="I20" s="23" t="s">
        <v>7</v>
      </c>
      <c r="J20" s="24" t="s">
        <v>33</v>
      </c>
    </row>
    <row r="21" spans="2:10" ht="15.6" x14ac:dyDescent="0.3">
      <c r="B21" s="101"/>
      <c r="C21" s="26" t="s">
        <v>46</v>
      </c>
      <c r="D21" s="22" t="s">
        <v>34</v>
      </c>
      <c r="E21" s="21">
        <v>-2</v>
      </c>
      <c r="F21" s="21">
        <v>-1</v>
      </c>
      <c r="G21" s="21">
        <v>7</v>
      </c>
      <c r="H21" s="21">
        <v>13</v>
      </c>
      <c r="I21" s="21">
        <v>14</v>
      </c>
      <c r="J21" s="22">
        <v>98</v>
      </c>
    </row>
    <row r="22" spans="2:10" x14ac:dyDescent="0.3">
      <c r="B22" s="102"/>
      <c r="C22" s="27">
        <v>0</v>
      </c>
      <c r="D22" s="18" t="s">
        <v>29</v>
      </c>
      <c r="E22" s="17">
        <f>C22+((F21-E21)*G10)</f>
        <v>52.8</v>
      </c>
      <c r="F22" s="17">
        <f>E22+((G21-F21)*(G9))</f>
        <v>475.2</v>
      </c>
      <c r="G22" s="17">
        <f>F22+((H21-G21)*G8)</f>
        <v>519.08571428571429</v>
      </c>
      <c r="H22" s="17">
        <f>G22+((I21-H21)*(G7+G8))</f>
        <v>598.66352941176467</v>
      </c>
      <c r="I22" s="17">
        <f>H22+((J21-I21)*G7)</f>
        <v>6668.8</v>
      </c>
      <c r="J22" s="18"/>
    </row>
  </sheetData>
  <mergeCells count="4">
    <mergeCell ref="B1:G1"/>
    <mergeCell ref="B16:J16"/>
    <mergeCell ref="B17:B19"/>
    <mergeCell ref="B20:B2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A3126-0FAF-4B1F-959E-C5744918B8CC}">
  <dimension ref="B1:AH38"/>
  <sheetViews>
    <sheetView topLeftCell="F11" zoomScale="97" workbookViewId="0">
      <selection activeCell="AE27" sqref="AE27"/>
    </sheetView>
  </sheetViews>
  <sheetFormatPr defaultRowHeight="14.4" x14ac:dyDescent="0.3"/>
  <cols>
    <col min="2" max="2" width="13.33203125" customWidth="1"/>
    <col min="3" max="3" width="25" bestFit="1" customWidth="1"/>
    <col min="4" max="4" width="10.33203125" customWidth="1"/>
    <col min="5" max="8" width="8.77734375" customWidth="1"/>
    <col min="9" max="9" width="29.6640625" bestFit="1" customWidth="1"/>
    <col min="10" max="10" width="8.5546875" customWidth="1"/>
    <col min="13" max="13" width="13.21875" bestFit="1" customWidth="1"/>
    <col min="14" max="14" width="13.21875" customWidth="1"/>
    <col min="15" max="15" width="14.88671875" customWidth="1"/>
    <col min="16" max="16" width="10.44140625" customWidth="1"/>
    <col min="18" max="25" width="2.77734375" customWidth="1"/>
    <col min="26" max="26" width="5.44140625" customWidth="1"/>
    <col min="27" max="27" width="30.77734375" bestFit="1" customWidth="1"/>
  </cols>
  <sheetData>
    <row r="1" spans="2:34" ht="15.6" x14ac:dyDescent="0.35">
      <c r="I1" s="39" t="s">
        <v>63</v>
      </c>
      <c r="J1" s="39">
        <v>10</v>
      </c>
      <c r="AA1" s="39" t="s">
        <v>63</v>
      </c>
      <c r="AB1" s="39">
        <v>20</v>
      </c>
    </row>
    <row r="2" spans="2:34" x14ac:dyDescent="0.3">
      <c r="I2" s="40" t="s">
        <v>64</v>
      </c>
      <c r="N2" t="s">
        <v>80</v>
      </c>
      <c r="AA2" s="40" t="s">
        <v>64</v>
      </c>
      <c r="AF2" t="s">
        <v>80</v>
      </c>
    </row>
    <row r="3" spans="2:34" ht="15.6" x14ac:dyDescent="0.35">
      <c r="B3" s="37" t="s">
        <v>0</v>
      </c>
      <c r="C3" s="37" t="s">
        <v>1</v>
      </c>
      <c r="D3" s="37" t="s">
        <v>61</v>
      </c>
      <c r="E3" s="37" t="s">
        <v>60</v>
      </c>
      <c r="F3" s="37" t="s">
        <v>18</v>
      </c>
      <c r="G3" s="37" t="s">
        <v>2</v>
      </c>
      <c r="I3" s="41" t="s">
        <v>0</v>
      </c>
      <c r="J3" s="41" t="s">
        <v>1</v>
      </c>
      <c r="K3" s="41" t="s">
        <v>61</v>
      </c>
      <c r="L3" s="41" t="s">
        <v>60</v>
      </c>
      <c r="M3" s="41" t="s">
        <v>18</v>
      </c>
      <c r="N3" s="41" t="s">
        <v>2</v>
      </c>
      <c r="AA3" s="41" t="s">
        <v>0</v>
      </c>
      <c r="AB3" s="41" t="s">
        <v>1</v>
      </c>
      <c r="AC3" s="41" t="s">
        <v>61</v>
      </c>
      <c r="AD3" s="41" t="s">
        <v>60</v>
      </c>
      <c r="AE3" s="41" t="s">
        <v>18</v>
      </c>
      <c r="AF3" s="41" t="s">
        <v>2</v>
      </c>
    </row>
    <row r="4" spans="2:34" x14ac:dyDescent="0.3">
      <c r="B4" s="37" t="s">
        <v>65</v>
      </c>
      <c r="C4" s="37" t="s">
        <v>24</v>
      </c>
      <c r="D4" s="37">
        <v>73</v>
      </c>
      <c r="E4" s="37">
        <v>93</v>
      </c>
      <c r="F4" s="37">
        <v>324.8</v>
      </c>
      <c r="G4" s="37">
        <f t="shared" ref="G4:G11" si="0">F4/(E4-D4)</f>
        <v>16.240000000000002</v>
      </c>
      <c r="I4" s="41" t="s">
        <v>65</v>
      </c>
      <c r="J4" s="41" t="s">
        <v>24</v>
      </c>
      <c r="K4" s="41">
        <v>73</v>
      </c>
      <c r="L4" s="41">
        <v>93</v>
      </c>
      <c r="M4" s="41">
        <v>324.8</v>
      </c>
      <c r="N4" s="41">
        <f t="shared" ref="N4:N11" si="1">M4/(L4-K4)</f>
        <v>16.240000000000002</v>
      </c>
      <c r="AA4" s="41" t="s">
        <v>65</v>
      </c>
      <c r="AB4" s="41" t="s">
        <v>24</v>
      </c>
      <c r="AC4" s="41">
        <v>73</v>
      </c>
      <c r="AD4" s="41">
        <v>93</v>
      </c>
      <c r="AE4" s="41">
        <v>324.8</v>
      </c>
      <c r="AF4" s="41">
        <f t="shared" ref="AF4:AF11" si="2">AE4/(AD4-AC4)</f>
        <v>16.240000000000002</v>
      </c>
    </row>
    <row r="5" spans="2:34" x14ac:dyDescent="0.3">
      <c r="B5" s="37" t="s">
        <v>66</v>
      </c>
      <c r="C5" s="37" t="s">
        <v>3</v>
      </c>
      <c r="D5" s="37">
        <v>63</v>
      </c>
      <c r="E5" s="37">
        <v>78</v>
      </c>
      <c r="F5" s="37">
        <v>3304</v>
      </c>
      <c r="G5" s="37">
        <f t="shared" si="0"/>
        <v>220.26666666666668</v>
      </c>
      <c r="I5" s="41" t="s">
        <v>66</v>
      </c>
      <c r="J5" s="41" t="s">
        <v>3</v>
      </c>
      <c r="K5" s="41">
        <v>63</v>
      </c>
      <c r="L5" s="41">
        <v>78</v>
      </c>
      <c r="M5" s="41">
        <v>3304</v>
      </c>
      <c r="N5" s="41">
        <f t="shared" si="1"/>
        <v>220.26666666666668</v>
      </c>
      <c r="AA5" s="41" t="s">
        <v>66</v>
      </c>
      <c r="AB5" s="41" t="s">
        <v>3</v>
      </c>
      <c r="AC5" s="41">
        <v>63</v>
      </c>
      <c r="AD5" s="41">
        <v>78</v>
      </c>
      <c r="AE5" s="41">
        <v>3304</v>
      </c>
      <c r="AF5" s="41">
        <f t="shared" si="2"/>
        <v>220.26666666666668</v>
      </c>
    </row>
    <row r="6" spans="2:34" x14ac:dyDescent="0.3">
      <c r="B6" s="37" t="s">
        <v>67</v>
      </c>
      <c r="C6" s="37" t="s">
        <v>6</v>
      </c>
      <c r="D6" s="37">
        <v>78</v>
      </c>
      <c r="E6" s="37">
        <v>90</v>
      </c>
      <c r="F6" s="37">
        <v>748.8</v>
      </c>
      <c r="G6" s="37">
        <f t="shared" si="0"/>
        <v>62.4</v>
      </c>
      <c r="I6" s="41" t="s">
        <v>67</v>
      </c>
      <c r="J6" s="41" t="s">
        <v>6</v>
      </c>
      <c r="K6" s="41">
        <v>78</v>
      </c>
      <c r="L6" s="41">
        <v>90</v>
      </c>
      <c r="M6" s="41">
        <v>748.8</v>
      </c>
      <c r="N6" s="41">
        <f t="shared" si="1"/>
        <v>62.4</v>
      </c>
      <c r="AA6" s="41" t="s">
        <v>67</v>
      </c>
      <c r="AB6" s="41" t="s">
        <v>6</v>
      </c>
      <c r="AC6" s="41">
        <v>78</v>
      </c>
      <c r="AD6" s="41">
        <v>90</v>
      </c>
      <c r="AE6" s="41">
        <v>748.8</v>
      </c>
      <c r="AF6" s="41">
        <f t="shared" si="2"/>
        <v>62.4</v>
      </c>
    </row>
    <row r="7" spans="2:34" x14ac:dyDescent="0.3">
      <c r="B7" s="37" t="s">
        <v>68</v>
      </c>
      <c r="C7" s="37" t="s">
        <v>10</v>
      </c>
      <c r="D7" s="37">
        <v>90</v>
      </c>
      <c r="E7" s="37">
        <v>100</v>
      </c>
      <c r="F7" s="37">
        <v>5723.2</v>
      </c>
      <c r="G7" s="37">
        <f t="shared" si="0"/>
        <v>572.31999999999994</v>
      </c>
      <c r="I7" s="41" t="s">
        <v>68</v>
      </c>
      <c r="J7" s="41" t="s">
        <v>10</v>
      </c>
      <c r="K7" s="41">
        <v>90</v>
      </c>
      <c r="L7" s="41">
        <v>100</v>
      </c>
      <c r="M7" s="41">
        <v>5723.2</v>
      </c>
      <c r="N7" s="41">
        <f t="shared" si="1"/>
        <v>572.31999999999994</v>
      </c>
      <c r="AA7" s="41" t="s">
        <v>68</v>
      </c>
      <c r="AB7" s="41" t="s">
        <v>10</v>
      </c>
      <c r="AC7" s="41">
        <v>90</v>
      </c>
      <c r="AD7" s="41">
        <v>100</v>
      </c>
      <c r="AE7" s="41">
        <v>5723.2</v>
      </c>
      <c r="AF7" s="41">
        <f t="shared" si="2"/>
        <v>572.31999999999994</v>
      </c>
    </row>
    <row r="8" spans="2:34" x14ac:dyDescent="0.3">
      <c r="B8" s="37" t="s">
        <v>69</v>
      </c>
      <c r="C8" s="37" t="s">
        <v>8</v>
      </c>
      <c r="D8" s="37">
        <v>98</v>
      </c>
      <c r="E8" s="37">
        <v>13</v>
      </c>
      <c r="F8" s="37">
        <v>-6142.4</v>
      </c>
      <c r="G8" s="37">
        <f t="shared" si="0"/>
        <v>72.263529411764708</v>
      </c>
      <c r="I8" s="41" t="s">
        <v>69</v>
      </c>
      <c r="J8" s="41" t="s">
        <v>8</v>
      </c>
      <c r="K8" s="41">
        <f>98-J1</f>
        <v>88</v>
      </c>
      <c r="L8" s="41">
        <f>13-J1</f>
        <v>3</v>
      </c>
      <c r="M8" s="41">
        <v>-6142.4</v>
      </c>
      <c r="N8" s="41">
        <f t="shared" si="1"/>
        <v>72.263529411764708</v>
      </c>
      <c r="AA8" s="41" t="s">
        <v>69</v>
      </c>
      <c r="AB8" s="41" t="s">
        <v>8</v>
      </c>
      <c r="AC8" s="41">
        <f>98-AB1</f>
        <v>78</v>
      </c>
      <c r="AD8" s="41">
        <f>13-AB1</f>
        <v>-7</v>
      </c>
      <c r="AE8" s="41">
        <v>-6142.4</v>
      </c>
      <c r="AF8" s="41">
        <f t="shared" si="2"/>
        <v>72.263529411764708</v>
      </c>
    </row>
    <row r="9" spans="2:34" x14ac:dyDescent="0.3">
      <c r="B9" s="37" t="s">
        <v>70</v>
      </c>
      <c r="C9" s="37" t="s">
        <v>13</v>
      </c>
      <c r="D9" s="37">
        <v>14</v>
      </c>
      <c r="E9" s="37">
        <v>7</v>
      </c>
      <c r="F9" s="37">
        <v>-51.2</v>
      </c>
      <c r="G9" s="37">
        <f t="shared" si="0"/>
        <v>7.3142857142857149</v>
      </c>
      <c r="I9" s="41" t="s">
        <v>70</v>
      </c>
      <c r="J9" s="41" t="s">
        <v>13</v>
      </c>
      <c r="K9" s="41">
        <f>14-J1</f>
        <v>4</v>
      </c>
      <c r="L9" s="41">
        <f>7-J1</f>
        <v>-3</v>
      </c>
      <c r="M9" s="41">
        <v>-51.2</v>
      </c>
      <c r="N9" s="41">
        <f t="shared" si="1"/>
        <v>7.3142857142857149</v>
      </c>
      <c r="AA9" s="41" t="s">
        <v>70</v>
      </c>
      <c r="AB9" s="41" t="s">
        <v>13</v>
      </c>
      <c r="AC9" s="41">
        <f>14-AB1</f>
        <v>-6</v>
      </c>
      <c r="AD9" s="41">
        <f>7-AB1</f>
        <v>-13</v>
      </c>
      <c r="AE9" s="41">
        <v>-51.2</v>
      </c>
      <c r="AF9" s="41">
        <f t="shared" si="2"/>
        <v>7.3142857142857149</v>
      </c>
    </row>
    <row r="10" spans="2:34" x14ac:dyDescent="0.3">
      <c r="B10" s="37" t="s">
        <v>71</v>
      </c>
      <c r="C10" s="37" t="s">
        <v>14</v>
      </c>
      <c r="D10" s="37">
        <v>7</v>
      </c>
      <c r="E10" s="37">
        <v>-1</v>
      </c>
      <c r="F10" s="37">
        <f>-422.4</f>
        <v>-422.4</v>
      </c>
      <c r="G10" s="37">
        <f t="shared" si="0"/>
        <v>52.8</v>
      </c>
      <c r="I10" s="41" t="s">
        <v>71</v>
      </c>
      <c r="J10" s="41" t="s">
        <v>14</v>
      </c>
      <c r="K10" s="41">
        <f>7-J1</f>
        <v>-3</v>
      </c>
      <c r="L10" s="41">
        <f>-1-J1</f>
        <v>-11</v>
      </c>
      <c r="M10" s="41">
        <f>-422.4</f>
        <v>-422.4</v>
      </c>
      <c r="N10" s="41">
        <f t="shared" si="1"/>
        <v>52.8</v>
      </c>
      <c r="AA10" s="41" t="s">
        <v>71</v>
      </c>
      <c r="AB10" s="41" t="s">
        <v>14</v>
      </c>
      <c r="AC10" s="41">
        <f>7-AB1</f>
        <v>-13</v>
      </c>
      <c r="AD10" s="41">
        <f>-1-AB1</f>
        <v>-21</v>
      </c>
      <c r="AE10" s="41">
        <f>-422.4</f>
        <v>-422.4</v>
      </c>
      <c r="AF10" s="41">
        <f t="shared" si="2"/>
        <v>52.8</v>
      </c>
    </row>
    <row r="11" spans="2:34" x14ac:dyDescent="0.3">
      <c r="B11" s="37" t="s">
        <v>72</v>
      </c>
      <c r="C11" s="37" t="s">
        <v>15</v>
      </c>
      <c r="D11" s="37">
        <v>-1</v>
      </c>
      <c r="E11" s="37">
        <v>-2</v>
      </c>
      <c r="F11" s="37">
        <f>-52.8</f>
        <v>-52.8</v>
      </c>
      <c r="G11" s="37">
        <f t="shared" si="0"/>
        <v>52.8</v>
      </c>
      <c r="I11" s="41" t="s">
        <v>72</v>
      </c>
      <c r="J11" s="41" t="s">
        <v>15</v>
      </c>
      <c r="K11" s="41">
        <f>-1-J1</f>
        <v>-11</v>
      </c>
      <c r="L11" s="41">
        <f>-2-J1</f>
        <v>-12</v>
      </c>
      <c r="M11" s="41">
        <f>-52.8</f>
        <v>-52.8</v>
      </c>
      <c r="N11" s="41">
        <f t="shared" si="1"/>
        <v>52.8</v>
      </c>
      <c r="AA11" s="41" t="s">
        <v>72</v>
      </c>
      <c r="AB11" s="41" t="s">
        <v>15</v>
      </c>
      <c r="AC11" s="41">
        <f>-1-AB1</f>
        <v>-21</v>
      </c>
      <c r="AD11" s="41">
        <f>-2-AB1</f>
        <v>-22</v>
      </c>
      <c r="AE11" s="41">
        <f>-52.8</f>
        <v>-52.8</v>
      </c>
      <c r="AF11" s="41">
        <f t="shared" si="2"/>
        <v>52.8</v>
      </c>
    </row>
    <row r="12" spans="2:34" x14ac:dyDescent="0.3">
      <c r="I12" s="45"/>
      <c r="J12" s="45"/>
      <c r="K12" s="45"/>
      <c r="L12" s="45"/>
      <c r="M12" s="45"/>
      <c r="N12" s="45"/>
      <c r="O12" s="45"/>
      <c r="P12" s="45"/>
      <c r="AA12" s="45"/>
      <c r="AB12" s="45"/>
      <c r="AC12" s="45"/>
      <c r="AD12" s="45"/>
      <c r="AE12" s="45"/>
      <c r="AF12" s="45"/>
      <c r="AG12" s="45"/>
      <c r="AH12" s="45"/>
    </row>
    <row r="13" spans="2:34" x14ac:dyDescent="0.3">
      <c r="I13" s="45"/>
      <c r="J13" s="45"/>
      <c r="K13" s="45"/>
      <c r="L13" s="45"/>
      <c r="M13" s="45"/>
      <c r="N13" s="45"/>
      <c r="O13" s="45"/>
      <c r="P13" s="45"/>
      <c r="AA13" s="45"/>
      <c r="AB13" s="45"/>
      <c r="AC13" s="45"/>
      <c r="AD13" s="45"/>
      <c r="AE13" s="45"/>
      <c r="AF13" s="45"/>
      <c r="AG13" s="45"/>
      <c r="AH13" s="45"/>
    </row>
    <row r="14" spans="2:34" ht="15.6" x14ac:dyDescent="0.35">
      <c r="C14" s="46" t="s">
        <v>86</v>
      </c>
      <c r="D14" s="46" t="s">
        <v>83</v>
      </c>
      <c r="I14" s="36" t="s">
        <v>64</v>
      </c>
      <c r="J14" s="45" t="s">
        <v>77</v>
      </c>
      <c r="K14" s="45"/>
      <c r="L14" s="45"/>
      <c r="M14" s="45"/>
      <c r="N14" s="45"/>
      <c r="O14" s="45"/>
      <c r="P14" s="45"/>
      <c r="AA14" s="36" t="s">
        <v>64</v>
      </c>
      <c r="AB14" s="45" t="s">
        <v>77</v>
      </c>
      <c r="AC14" s="45"/>
      <c r="AD14" s="45"/>
      <c r="AE14" s="45"/>
      <c r="AF14" s="45"/>
      <c r="AG14" s="45"/>
      <c r="AH14" s="45"/>
    </row>
    <row r="15" spans="2:34" ht="15.6" x14ac:dyDescent="0.35">
      <c r="C15" s="46" t="s">
        <v>85</v>
      </c>
      <c r="D15" s="46">
        <f>P16</f>
        <v>8294.2117647058822</v>
      </c>
      <c r="I15" s="42" t="s">
        <v>74</v>
      </c>
      <c r="J15" s="43" t="s">
        <v>75</v>
      </c>
      <c r="K15" s="42" t="s">
        <v>78</v>
      </c>
      <c r="L15" s="42" t="s">
        <v>76</v>
      </c>
      <c r="M15" s="42" t="s">
        <v>79</v>
      </c>
      <c r="N15" s="42" t="s">
        <v>81</v>
      </c>
      <c r="O15" s="42" t="s">
        <v>82</v>
      </c>
      <c r="P15" s="42" t="s">
        <v>83</v>
      </c>
      <c r="AA15" s="42" t="s">
        <v>74</v>
      </c>
      <c r="AB15" s="43" t="s">
        <v>75</v>
      </c>
      <c r="AC15" s="42" t="s">
        <v>78</v>
      </c>
      <c r="AD15" s="42" t="s">
        <v>76</v>
      </c>
      <c r="AE15" s="42" t="s">
        <v>79</v>
      </c>
      <c r="AF15" s="42" t="s">
        <v>81</v>
      </c>
      <c r="AG15" s="42" t="s">
        <v>82</v>
      </c>
      <c r="AH15" s="42" t="s">
        <v>83</v>
      </c>
    </row>
    <row r="16" spans="2:34" x14ac:dyDescent="0.3">
      <c r="C16" s="46" t="s">
        <v>84</v>
      </c>
      <c r="D16" s="46">
        <f>P38</f>
        <v>4862.2117647058822</v>
      </c>
      <c r="I16" s="44"/>
      <c r="J16" s="44"/>
      <c r="K16" s="44"/>
      <c r="L16" s="44"/>
      <c r="M16" s="44"/>
      <c r="N16" s="44"/>
      <c r="O16" s="44">
        <v>0</v>
      </c>
      <c r="P16" s="44">
        <f>-O28</f>
        <v>8294.2117647058822</v>
      </c>
      <c r="AA16" s="44"/>
      <c r="AB16" s="44"/>
      <c r="AC16" s="44"/>
      <c r="AD16" s="44"/>
      <c r="AE16" s="44"/>
      <c r="AF16" s="44"/>
      <c r="AG16" s="44">
        <v>0</v>
      </c>
      <c r="AH16" s="44">
        <f>-AG26</f>
        <v>9016.8470588235286</v>
      </c>
    </row>
    <row r="17" spans="3:34" x14ac:dyDescent="0.3">
      <c r="I17" s="42">
        <v>1</v>
      </c>
      <c r="J17" s="42">
        <v>100</v>
      </c>
      <c r="K17" s="42">
        <v>93</v>
      </c>
      <c r="L17" s="42">
        <f>J17-K17</f>
        <v>7</v>
      </c>
      <c r="M17" s="43">
        <f>-N7</f>
        <v>-572.31999999999994</v>
      </c>
      <c r="N17" s="42">
        <f>L17*M17</f>
        <v>-4006.24</v>
      </c>
      <c r="O17" s="42"/>
      <c r="P17" s="42"/>
      <c r="AA17" s="42">
        <v>1</v>
      </c>
      <c r="AB17" s="42">
        <v>100</v>
      </c>
      <c r="AC17" s="42">
        <v>93</v>
      </c>
      <c r="AD17" s="42">
        <f>AB17-AC17</f>
        <v>7</v>
      </c>
      <c r="AE17" s="43">
        <f>-AF7</f>
        <v>-572.31999999999994</v>
      </c>
      <c r="AF17" s="42">
        <f>AD17*AE17</f>
        <v>-4006.24</v>
      </c>
      <c r="AG17" s="42"/>
      <c r="AH17" s="42"/>
    </row>
    <row r="18" spans="3:34" x14ac:dyDescent="0.3">
      <c r="C18" s="46" t="s">
        <v>87</v>
      </c>
      <c r="D18" s="46" t="s">
        <v>83</v>
      </c>
      <c r="I18" s="44"/>
      <c r="J18" s="44"/>
      <c r="K18" s="44"/>
      <c r="L18" s="44"/>
      <c r="M18" s="44"/>
      <c r="N18" s="44"/>
      <c r="O18" s="44">
        <f>N17+O16</f>
        <v>-4006.24</v>
      </c>
      <c r="P18" s="44">
        <f>P16+N17</f>
        <v>4287.9717647058824</v>
      </c>
      <c r="AA18" s="44"/>
      <c r="AB18" s="44"/>
      <c r="AC18" s="44"/>
      <c r="AD18" s="44"/>
      <c r="AE18" s="44"/>
      <c r="AF18" s="44"/>
      <c r="AG18" s="44">
        <f>AF17+AG16</f>
        <v>-4006.24</v>
      </c>
      <c r="AH18" s="44">
        <f>AH16+AF17</f>
        <v>5010.6070588235289</v>
      </c>
    </row>
    <row r="19" spans="3:34" x14ac:dyDescent="0.3">
      <c r="C19" s="46" t="s">
        <v>88</v>
      </c>
      <c r="D19" s="46">
        <f>AH16</f>
        <v>9016.8470588235286</v>
      </c>
      <c r="I19" s="42">
        <v>2</v>
      </c>
      <c r="J19" s="42">
        <v>93</v>
      </c>
      <c r="K19" s="42">
        <v>90</v>
      </c>
      <c r="L19" s="42">
        <f t="shared" ref="L19" si="3">J19-K19</f>
        <v>3</v>
      </c>
      <c r="M19" s="43">
        <f>-(N7+N4)</f>
        <v>-588.55999999999995</v>
      </c>
      <c r="N19" s="42">
        <f t="shared" ref="N19" si="4">L19*M19</f>
        <v>-1765.6799999999998</v>
      </c>
      <c r="O19" s="42"/>
      <c r="P19" s="42"/>
      <c r="AA19" s="42">
        <v>2</v>
      </c>
      <c r="AB19" s="42">
        <v>93</v>
      </c>
      <c r="AC19" s="42">
        <v>90</v>
      </c>
      <c r="AD19" s="42">
        <f t="shared" ref="AD19" si="5">AB19-AC19</f>
        <v>3</v>
      </c>
      <c r="AE19" s="43">
        <f>-(AF7+AF4)</f>
        <v>-588.55999999999995</v>
      </c>
      <c r="AF19" s="42">
        <f t="shared" ref="AF19" si="6">AD19*AE19</f>
        <v>-1765.6799999999998</v>
      </c>
      <c r="AG19" s="42"/>
      <c r="AH19" s="42"/>
    </row>
    <row r="20" spans="3:34" x14ac:dyDescent="0.3">
      <c r="C20" s="46" t="s">
        <v>89</v>
      </c>
      <c r="D20" s="46">
        <f>AH36</f>
        <v>5584.8470588235286</v>
      </c>
      <c r="I20" s="44"/>
      <c r="J20" s="44"/>
      <c r="K20" s="44"/>
      <c r="L20" s="44"/>
      <c r="M20" s="44"/>
      <c r="N20" s="44"/>
      <c r="O20" s="44">
        <f>O18+N19</f>
        <v>-5771.92</v>
      </c>
      <c r="P20" s="44">
        <f>P18+N19</f>
        <v>2522.2917647058825</v>
      </c>
      <c r="AA20" s="44"/>
      <c r="AB20" s="44"/>
      <c r="AC20" s="44"/>
      <c r="AD20" s="44"/>
      <c r="AE20" s="44"/>
      <c r="AF20" s="44"/>
      <c r="AG20" s="44">
        <f>AG18+AF19</f>
        <v>-5771.92</v>
      </c>
      <c r="AH20" s="44">
        <f>AH18+AF19</f>
        <v>3244.927058823529</v>
      </c>
    </row>
    <row r="21" spans="3:34" x14ac:dyDescent="0.3">
      <c r="I21" s="42">
        <v>3</v>
      </c>
      <c r="J21" s="42">
        <v>90</v>
      </c>
      <c r="K21" s="42">
        <v>88</v>
      </c>
      <c r="L21" s="42">
        <f>J21-K21</f>
        <v>2</v>
      </c>
      <c r="M21" s="43">
        <f>-(N4+N6)</f>
        <v>-78.64</v>
      </c>
      <c r="N21" s="42">
        <f>L21*M21</f>
        <v>-157.28</v>
      </c>
      <c r="O21" s="42"/>
      <c r="P21" s="42"/>
      <c r="AA21" s="42">
        <v>3</v>
      </c>
      <c r="AB21" s="42">
        <v>90</v>
      </c>
      <c r="AC21" s="42">
        <v>78</v>
      </c>
      <c r="AD21" s="42">
        <f>AB21-AC21</f>
        <v>12</v>
      </c>
      <c r="AE21" s="43">
        <f>-(AF4+AF6)</f>
        <v>-78.64</v>
      </c>
      <c r="AF21" s="42">
        <f>AD21*AE21</f>
        <v>-943.68000000000006</v>
      </c>
      <c r="AG21" s="42"/>
      <c r="AH21" s="42"/>
    </row>
    <row r="22" spans="3:34" x14ac:dyDescent="0.3">
      <c r="I22" s="44"/>
      <c r="J22" s="44"/>
      <c r="K22" s="44"/>
      <c r="L22" s="44"/>
      <c r="M22" s="44"/>
      <c r="N22" s="44"/>
      <c r="O22" s="44">
        <f>O20+N21</f>
        <v>-5929.2</v>
      </c>
      <c r="P22" s="44">
        <f>P20+N21</f>
        <v>2365.0117647058823</v>
      </c>
      <c r="AA22" s="44"/>
      <c r="AB22" s="44"/>
      <c r="AC22" s="44"/>
      <c r="AD22" s="44"/>
      <c r="AE22" s="44"/>
      <c r="AF22" s="44"/>
      <c r="AG22" s="44">
        <f>AF21+AG20</f>
        <v>-6715.6</v>
      </c>
      <c r="AH22" s="44">
        <f>AH20+AF21</f>
        <v>2301.2470588235292</v>
      </c>
    </row>
    <row r="23" spans="3:34" x14ac:dyDescent="0.3">
      <c r="I23" s="42">
        <v>4</v>
      </c>
      <c r="J23" s="42">
        <v>88</v>
      </c>
      <c r="K23" s="42">
        <v>78</v>
      </c>
      <c r="L23" s="42">
        <f>J23-K23</f>
        <v>10</v>
      </c>
      <c r="M23" s="43">
        <f>N8-(N4+N6)</f>
        <v>-6.3764705882352928</v>
      </c>
      <c r="N23" s="42">
        <f>L23*M23</f>
        <v>-63.764705882352928</v>
      </c>
      <c r="O23" s="42"/>
      <c r="P23" s="42"/>
      <c r="AA23" s="42">
        <v>5</v>
      </c>
      <c r="AB23" s="42">
        <v>78</v>
      </c>
      <c r="AC23" s="42">
        <v>73</v>
      </c>
      <c r="AD23" s="42">
        <f t="shared" ref="AD23" si="7">AB23-AC23</f>
        <v>5</v>
      </c>
      <c r="AE23" s="43">
        <f>AF8-(AF5+AF4)</f>
        <v>-164.24313725490197</v>
      </c>
      <c r="AF23" s="42">
        <f>AD23*AE23</f>
        <v>-821.21568627450984</v>
      </c>
      <c r="AG23" s="42"/>
      <c r="AH23" s="42"/>
    </row>
    <row r="24" spans="3:34" x14ac:dyDescent="0.3">
      <c r="I24" s="44"/>
      <c r="J24" s="44"/>
      <c r="K24" s="44"/>
      <c r="L24" s="44"/>
      <c r="M24" s="44"/>
      <c r="N24" s="44"/>
      <c r="O24" s="44">
        <f>O22+N23</f>
        <v>-5992.964705882353</v>
      </c>
      <c r="P24" s="44">
        <f>P22+N23</f>
        <v>2301.2470588235292</v>
      </c>
      <c r="AA24" s="44"/>
      <c r="AB24" s="44"/>
      <c r="AC24" s="44"/>
      <c r="AD24" s="44"/>
      <c r="AE24" s="44"/>
      <c r="AF24" s="44"/>
      <c r="AG24" s="44">
        <f>AF23+AG22</f>
        <v>-7536.81568627451</v>
      </c>
      <c r="AH24" s="44">
        <f>AH22+AF23</f>
        <v>1480.0313725490194</v>
      </c>
    </row>
    <row r="25" spans="3:34" x14ac:dyDescent="0.3">
      <c r="I25" s="42">
        <v>5</v>
      </c>
      <c r="J25" s="42">
        <v>78</v>
      </c>
      <c r="K25" s="42">
        <v>73</v>
      </c>
      <c r="L25" s="42">
        <f t="shared" ref="L25" si="8">J25-K25</f>
        <v>5</v>
      </c>
      <c r="M25" s="43">
        <f>N8-(N5+N4)</f>
        <v>-164.24313725490197</v>
      </c>
      <c r="N25" s="42">
        <f>L25*M25</f>
        <v>-821.21568627450984</v>
      </c>
      <c r="O25" s="42"/>
      <c r="P25" s="42"/>
      <c r="AA25" s="42">
        <v>6</v>
      </c>
      <c r="AB25" s="42">
        <v>73</v>
      </c>
      <c r="AC25" s="42">
        <v>63</v>
      </c>
      <c r="AD25" s="42">
        <f>AB25-AC25</f>
        <v>10</v>
      </c>
      <c r="AE25" s="43">
        <f>AF8-(AF5)</f>
        <v>-148.00313725490196</v>
      </c>
      <c r="AF25" s="42">
        <f>AD25*AE25</f>
        <v>-1480.0313725490196</v>
      </c>
      <c r="AG25" s="42"/>
      <c r="AH25" s="42"/>
    </row>
    <row r="26" spans="3:34" x14ac:dyDescent="0.3">
      <c r="I26" s="44"/>
      <c r="J26" s="44"/>
      <c r="K26" s="44"/>
      <c r="L26" s="44"/>
      <c r="M26" s="44"/>
      <c r="N26" s="44"/>
      <c r="O26" s="44">
        <f>O24+N25</f>
        <v>-6814.1803921568626</v>
      </c>
      <c r="P26" s="44">
        <f>P24+N25</f>
        <v>1480.0313725490194</v>
      </c>
      <c r="AA26" s="44"/>
      <c r="AB26" s="44"/>
      <c r="AC26" s="44"/>
      <c r="AD26" s="44"/>
      <c r="AE26" s="44"/>
      <c r="AF26" s="44"/>
      <c r="AG26" s="44">
        <f>AF25+AG24</f>
        <v>-9016.8470588235286</v>
      </c>
      <c r="AH26" s="44">
        <f>AH24+AF25</f>
        <v>0</v>
      </c>
    </row>
    <row r="27" spans="3:34" x14ac:dyDescent="0.3">
      <c r="I27" s="42">
        <v>6</v>
      </c>
      <c r="J27" s="42">
        <v>73</v>
      </c>
      <c r="K27" s="42">
        <v>63</v>
      </c>
      <c r="L27" s="42">
        <f>J27-K27</f>
        <v>10</v>
      </c>
      <c r="M27" s="43">
        <f>N8-(N5)</f>
        <v>-148.00313725490196</v>
      </c>
      <c r="N27" s="42">
        <f>L27*M27</f>
        <v>-1480.0313725490196</v>
      </c>
      <c r="O27" s="42"/>
      <c r="P27" s="42"/>
      <c r="AA27" s="42">
        <v>7</v>
      </c>
      <c r="AB27" s="42">
        <v>63</v>
      </c>
      <c r="AC27" s="42">
        <v>-6</v>
      </c>
      <c r="AD27" s="42">
        <f>AB27-AC27</f>
        <v>69</v>
      </c>
      <c r="AE27" s="43">
        <f>AF8</f>
        <v>72.263529411764708</v>
      </c>
      <c r="AF27" s="42">
        <f>AD27*AE27</f>
        <v>4986.1835294117645</v>
      </c>
      <c r="AG27" s="42"/>
      <c r="AH27" s="42"/>
    </row>
    <row r="28" spans="3:34" x14ac:dyDescent="0.3">
      <c r="I28" s="44"/>
      <c r="J28" s="44"/>
      <c r="K28" s="44"/>
      <c r="L28" s="44"/>
      <c r="M28" s="44"/>
      <c r="N28" s="44"/>
      <c r="O28" s="44">
        <f>O26+N27</f>
        <v>-8294.2117647058822</v>
      </c>
      <c r="P28" s="44">
        <f>P26+N27</f>
        <v>0</v>
      </c>
      <c r="AA28" s="44"/>
      <c r="AB28" s="44"/>
      <c r="AC28" s="44"/>
      <c r="AD28" s="44"/>
      <c r="AE28" s="44"/>
      <c r="AF28" s="44"/>
      <c r="AG28" s="44">
        <f>AF27+AG26</f>
        <v>-4030.6635294117641</v>
      </c>
      <c r="AH28" s="44">
        <f>AH26+AF27</f>
        <v>4986.1835294117645</v>
      </c>
    </row>
    <row r="29" spans="3:34" x14ac:dyDescent="0.3">
      <c r="I29" s="42">
        <v>7</v>
      </c>
      <c r="J29" s="42">
        <v>63</v>
      </c>
      <c r="K29" s="42">
        <v>4</v>
      </c>
      <c r="L29" s="42">
        <f>J29-K29</f>
        <v>59</v>
      </c>
      <c r="M29" s="43">
        <f>N8</f>
        <v>72.263529411764708</v>
      </c>
      <c r="N29" s="42">
        <f>L29*M29</f>
        <v>4263.5482352941181</v>
      </c>
      <c r="O29" s="42"/>
      <c r="P29" s="42"/>
      <c r="AA29" s="42">
        <v>8</v>
      </c>
      <c r="AB29" s="42">
        <v>-6</v>
      </c>
      <c r="AC29" s="42">
        <v>-7</v>
      </c>
      <c r="AD29" s="42">
        <f>AB29-AC29</f>
        <v>1</v>
      </c>
      <c r="AE29" s="43">
        <f>AF8+AF9</f>
        <v>79.577815126050425</v>
      </c>
      <c r="AF29" s="42">
        <f>AD29*AE29</f>
        <v>79.577815126050425</v>
      </c>
      <c r="AG29" s="42"/>
      <c r="AH29" s="42"/>
    </row>
    <row r="30" spans="3:34" x14ac:dyDescent="0.3">
      <c r="I30" s="44"/>
      <c r="J30" s="44"/>
      <c r="K30" s="44"/>
      <c r="L30" s="44"/>
      <c r="M30" s="44"/>
      <c r="N30" s="44"/>
      <c r="O30" s="44">
        <f>O28+N29</f>
        <v>-4030.6635294117641</v>
      </c>
      <c r="P30" s="44">
        <f>P28+N29</f>
        <v>4263.5482352941181</v>
      </c>
      <c r="AA30" s="44"/>
      <c r="AB30" s="44"/>
      <c r="AC30" s="44"/>
      <c r="AD30" s="44"/>
      <c r="AE30" s="44"/>
      <c r="AF30" s="44"/>
      <c r="AG30" s="44">
        <f>AF29+AG28</f>
        <v>-3951.0857142857135</v>
      </c>
      <c r="AH30" s="44">
        <f>AH28+AF29</f>
        <v>5065.7613445378147</v>
      </c>
    </row>
    <row r="31" spans="3:34" x14ac:dyDescent="0.3">
      <c r="I31" s="42">
        <v>8</v>
      </c>
      <c r="J31" s="42">
        <v>4</v>
      </c>
      <c r="K31" s="42">
        <v>3</v>
      </c>
      <c r="L31" s="42">
        <f>J31-K31</f>
        <v>1</v>
      </c>
      <c r="M31" s="43">
        <f>N8+N9</f>
        <v>79.577815126050425</v>
      </c>
      <c r="N31" s="42">
        <f>L31*M31</f>
        <v>79.577815126050425</v>
      </c>
      <c r="O31" s="42"/>
      <c r="P31" s="42"/>
      <c r="AA31" s="42">
        <v>9</v>
      </c>
      <c r="AB31" s="42">
        <v>-7</v>
      </c>
      <c r="AC31" s="42">
        <v>-13</v>
      </c>
      <c r="AD31" s="42">
        <f>AB31-AC31</f>
        <v>6</v>
      </c>
      <c r="AE31" s="43">
        <f>AF9</f>
        <v>7.3142857142857149</v>
      </c>
      <c r="AF31" s="42">
        <f>AD31*AE31</f>
        <v>43.885714285714286</v>
      </c>
      <c r="AG31" s="42"/>
      <c r="AH31" s="42"/>
    </row>
    <row r="32" spans="3:34" x14ac:dyDescent="0.3">
      <c r="I32" s="44"/>
      <c r="J32" s="44"/>
      <c r="K32" s="44"/>
      <c r="L32" s="44"/>
      <c r="M32" s="44"/>
      <c r="N32" s="44"/>
      <c r="O32" s="44">
        <f>O30+N31</f>
        <v>-3951.0857142857135</v>
      </c>
      <c r="P32" s="44">
        <f>P30+N31</f>
        <v>4343.1260504201682</v>
      </c>
      <c r="AA32" s="44"/>
      <c r="AB32" s="44"/>
      <c r="AC32" s="44"/>
      <c r="AD32" s="44"/>
      <c r="AE32" s="44"/>
      <c r="AF32" s="44"/>
      <c r="AG32" s="44">
        <f>AF31+AG30</f>
        <v>-3907.1999999999994</v>
      </c>
      <c r="AH32" s="44">
        <f>AH30+AF31</f>
        <v>5109.6470588235288</v>
      </c>
    </row>
    <row r="33" spans="9:34" x14ac:dyDescent="0.3">
      <c r="I33" s="42">
        <v>9</v>
      </c>
      <c r="J33" s="42">
        <v>3</v>
      </c>
      <c r="K33" s="42">
        <v>-3</v>
      </c>
      <c r="L33" s="42">
        <f>J33-K33</f>
        <v>6</v>
      </c>
      <c r="M33" s="43">
        <f>N9</f>
        <v>7.3142857142857149</v>
      </c>
      <c r="N33" s="42">
        <f>L33*M33</f>
        <v>43.885714285714286</v>
      </c>
      <c r="O33" s="42"/>
      <c r="P33" s="42"/>
      <c r="AA33" s="42">
        <v>10</v>
      </c>
      <c r="AB33" s="42">
        <v>-13</v>
      </c>
      <c r="AC33" s="42">
        <v>-21</v>
      </c>
      <c r="AD33" s="42">
        <f>AB33-AC33</f>
        <v>8</v>
      </c>
      <c r="AE33" s="43">
        <f>AF10</f>
        <v>52.8</v>
      </c>
      <c r="AF33" s="42">
        <f>AD33*AE33</f>
        <v>422.4</v>
      </c>
      <c r="AG33" s="42"/>
      <c r="AH33" s="42"/>
    </row>
    <row r="34" spans="9:34" x14ac:dyDescent="0.3">
      <c r="I34" s="44"/>
      <c r="J34" s="44"/>
      <c r="K34" s="44"/>
      <c r="L34" s="44"/>
      <c r="M34" s="44"/>
      <c r="N34" s="44"/>
      <c r="O34" s="44">
        <f>O32+N33</f>
        <v>-3907.1999999999994</v>
      </c>
      <c r="P34" s="44">
        <f>P32+N33</f>
        <v>4387.0117647058823</v>
      </c>
      <c r="AA34" s="44"/>
      <c r="AB34" s="44"/>
      <c r="AC34" s="44"/>
      <c r="AD34" s="44"/>
      <c r="AE34" s="44"/>
      <c r="AF34" s="44"/>
      <c r="AG34" s="44">
        <f>AF33+AG32</f>
        <v>-3484.7999999999993</v>
      </c>
      <c r="AH34" s="44">
        <f>AH32+AF33</f>
        <v>5532.0470588235285</v>
      </c>
    </row>
    <row r="35" spans="9:34" x14ac:dyDescent="0.3">
      <c r="I35" s="42">
        <v>10</v>
      </c>
      <c r="J35" s="42">
        <v>-3</v>
      </c>
      <c r="K35" s="42">
        <v>-11</v>
      </c>
      <c r="L35" s="42">
        <f>J35-K35</f>
        <v>8</v>
      </c>
      <c r="M35" s="43">
        <f>N10</f>
        <v>52.8</v>
      </c>
      <c r="N35" s="42">
        <f>L35*M35</f>
        <v>422.4</v>
      </c>
      <c r="O35" s="42"/>
      <c r="P35" s="42"/>
      <c r="AA35" s="42">
        <v>11</v>
      </c>
      <c r="AB35" s="42">
        <v>-21</v>
      </c>
      <c r="AC35" s="42">
        <v>-22</v>
      </c>
      <c r="AD35" s="42">
        <f>AB35-AC35</f>
        <v>1</v>
      </c>
      <c r="AE35" s="43">
        <f>AF11</f>
        <v>52.8</v>
      </c>
      <c r="AF35" s="42">
        <f>AD35*AE35</f>
        <v>52.8</v>
      </c>
      <c r="AG35" s="42"/>
      <c r="AH35" s="42"/>
    </row>
    <row r="36" spans="9:34" x14ac:dyDescent="0.3">
      <c r="I36" s="44"/>
      <c r="J36" s="44"/>
      <c r="K36" s="44"/>
      <c r="L36" s="44"/>
      <c r="M36" s="44"/>
      <c r="N36" s="44"/>
      <c r="O36" s="44">
        <f>O34+N35</f>
        <v>-3484.7999999999993</v>
      </c>
      <c r="P36" s="44">
        <f>P34+N35</f>
        <v>4809.411764705882</v>
      </c>
      <c r="AA36" s="44"/>
      <c r="AB36" s="44"/>
      <c r="AC36" s="44"/>
      <c r="AD36" s="44"/>
      <c r="AE36" s="44"/>
      <c r="AF36" s="44"/>
      <c r="AG36" s="44">
        <f>AF35+AG34</f>
        <v>-3431.9999999999991</v>
      </c>
      <c r="AH36" s="44">
        <f>AH34+AF35</f>
        <v>5584.8470588235286</v>
      </c>
    </row>
    <row r="37" spans="9:34" x14ac:dyDescent="0.3">
      <c r="I37" s="42">
        <v>11</v>
      </c>
      <c r="J37" s="42">
        <v>-11</v>
      </c>
      <c r="K37" s="42">
        <v>-12</v>
      </c>
      <c r="L37" s="42">
        <f>J37-K37</f>
        <v>1</v>
      </c>
      <c r="M37" s="43">
        <f>N11</f>
        <v>52.8</v>
      </c>
      <c r="N37" s="42">
        <f>L37*M37</f>
        <v>52.8</v>
      </c>
      <c r="O37" s="42"/>
      <c r="P37" s="42"/>
    </row>
    <row r="38" spans="9:34" x14ac:dyDescent="0.3">
      <c r="I38" s="44"/>
      <c r="J38" s="44"/>
      <c r="K38" s="44"/>
      <c r="L38" s="44"/>
      <c r="M38" s="44"/>
      <c r="N38" s="44"/>
      <c r="O38" s="44">
        <f>O36+N37</f>
        <v>-3431.9999999999991</v>
      </c>
      <c r="P38" s="44">
        <f>P36+N37</f>
        <v>4862.2117647058822</v>
      </c>
    </row>
  </sheetData>
  <phoneticPr fontId="3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9C60A-0557-413B-888B-B336197178EA}">
  <dimension ref="D1:Q24"/>
  <sheetViews>
    <sheetView tabSelected="1" workbookViewId="0">
      <selection activeCell="J11" sqref="J11"/>
    </sheetView>
  </sheetViews>
  <sheetFormatPr defaultRowHeight="14.4" x14ac:dyDescent="0.3"/>
  <cols>
    <col min="4" max="4" width="17.44140625" customWidth="1"/>
    <col min="5" max="12" width="2.77734375" customWidth="1"/>
  </cols>
  <sheetData>
    <row r="1" spans="4:17" x14ac:dyDescent="0.3">
      <c r="D1" s="57" t="s">
        <v>91</v>
      </c>
      <c r="E1" s="58" t="s">
        <v>94</v>
      </c>
      <c r="F1" s="59" t="s">
        <v>95</v>
      </c>
      <c r="G1" s="58" t="s">
        <v>96</v>
      </c>
      <c r="H1" s="59" t="s">
        <v>97</v>
      </c>
      <c r="I1" s="58" t="s">
        <v>98</v>
      </c>
      <c r="J1" s="59" t="s">
        <v>99</v>
      </c>
      <c r="K1" s="58" t="s">
        <v>100</v>
      </c>
      <c r="L1" s="59" t="s">
        <v>101</v>
      </c>
      <c r="M1" s="66" t="s">
        <v>90</v>
      </c>
      <c r="N1" s="58" t="s">
        <v>92</v>
      </c>
      <c r="O1" s="60" t="s">
        <v>93</v>
      </c>
      <c r="P1" s="58" t="s">
        <v>82</v>
      </c>
      <c r="Q1" s="60" t="s">
        <v>83</v>
      </c>
    </row>
    <row r="2" spans="4:17" x14ac:dyDescent="0.3">
      <c r="D2" s="61">
        <v>100</v>
      </c>
      <c r="E2" s="54"/>
      <c r="F2" s="51"/>
      <c r="G2" s="54"/>
      <c r="H2" s="73">
        <v>572</v>
      </c>
      <c r="I2" s="54"/>
      <c r="J2" s="51"/>
      <c r="K2" s="54"/>
      <c r="L2" s="51"/>
      <c r="M2" s="67" cm="1">
        <f t="array" ref="M2">SUM(I2:L2-E2:H2)</f>
        <v>-572</v>
      </c>
      <c r="N2" s="68">
        <v>0</v>
      </c>
      <c r="O2" s="68">
        <f t="shared" ref="O2:O12" si="0">N2*M2</f>
        <v>0</v>
      </c>
      <c r="P2" s="69">
        <v>0</v>
      </c>
      <c r="Q2" s="65">
        <v>9362</v>
      </c>
    </row>
    <row r="3" spans="4:17" x14ac:dyDescent="0.3">
      <c r="D3" s="61">
        <v>93</v>
      </c>
      <c r="E3" s="74">
        <v>16</v>
      </c>
      <c r="F3" s="51"/>
      <c r="G3" s="55"/>
      <c r="H3" s="73">
        <v>572</v>
      </c>
      <c r="I3" s="55"/>
      <c r="J3" s="51"/>
      <c r="K3" s="55"/>
      <c r="L3" s="52"/>
      <c r="M3" s="47" cm="1">
        <f t="array" ref="M3">SUM(I3:L3-E3:H3)</f>
        <v>-588</v>
      </c>
      <c r="N3" s="47">
        <f t="shared" ref="N3:N12" si="1">D2-D3</f>
        <v>7</v>
      </c>
      <c r="O3" s="47">
        <f t="shared" si="0"/>
        <v>-4116</v>
      </c>
      <c r="P3" s="63">
        <f t="shared" ref="P3:P12" si="2">P2+O3</f>
        <v>-4116</v>
      </c>
      <c r="Q3" s="49">
        <f t="shared" ref="Q3:Q12" si="3">Q2+O3</f>
        <v>5246</v>
      </c>
    </row>
    <row r="4" spans="4:17" x14ac:dyDescent="0.3">
      <c r="D4" s="61">
        <v>90</v>
      </c>
      <c r="E4" s="74">
        <v>16</v>
      </c>
      <c r="F4" s="51"/>
      <c r="G4" s="74">
        <v>62</v>
      </c>
      <c r="H4" s="51"/>
      <c r="I4" s="55"/>
      <c r="J4" s="51"/>
      <c r="K4" s="55"/>
      <c r="L4" s="52"/>
      <c r="M4" s="47" cm="1">
        <f t="array" ref="M4">SUM(I4:L4-E4:H4)</f>
        <v>-78</v>
      </c>
      <c r="N4" s="47">
        <f t="shared" si="1"/>
        <v>3</v>
      </c>
      <c r="O4" s="47">
        <f t="shared" si="0"/>
        <v>-234</v>
      </c>
      <c r="P4" s="63">
        <f t="shared" si="2"/>
        <v>-4350</v>
      </c>
      <c r="Q4" s="49">
        <f t="shared" si="3"/>
        <v>5012</v>
      </c>
    </row>
    <row r="5" spans="4:17" x14ac:dyDescent="0.3">
      <c r="D5" s="61">
        <v>78</v>
      </c>
      <c r="E5" s="74">
        <v>16</v>
      </c>
      <c r="F5" s="73">
        <v>220</v>
      </c>
      <c r="G5" s="74">
        <v>62</v>
      </c>
      <c r="H5" s="51"/>
      <c r="I5" s="70">
        <v>72</v>
      </c>
      <c r="J5" s="51"/>
      <c r="K5" s="55"/>
      <c r="L5" s="52"/>
      <c r="M5" s="47" cm="1">
        <f t="array" ref="M5">SUM(I5:L5-E5:H5)</f>
        <v>-226</v>
      </c>
      <c r="N5" s="47">
        <f t="shared" si="1"/>
        <v>12</v>
      </c>
      <c r="O5" s="47">
        <f t="shared" si="0"/>
        <v>-2712</v>
      </c>
      <c r="P5" s="63">
        <f t="shared" si="2"/>
        <v>-7062</v>
      </c>
      <c r="Q5" s="49">
        <f t="shared" si="3"/>
        <v>2300</v>
      </c>
    </row>
    <row r="6" spans="4:17" x14ac:dyDescent="0.3">
      <c r="D6" s="61">
        <v>73</v>
      </c>
      <c r="E6" s="74">
        <v>16</v>
      </c>
      <c r="F6" s="73">
        <v>220</v>
      </c>
      <c r="G6" s="55"/>
      <c r="H6" s="51"/>
      <c r="I6" s="70">
        <v>72</v>
      </c>
      <c r="J6" s="51"/>
      <c r="K6" s="55"/>
      <c r="L6" s="52"/>
      <c r="M6" s="47" cm="1">
        <f t="array" ref="M6">SUM(I6:L6-E6:H6)</f>
        <v>-164</v>
      </c>
      <c r="N6" s="47">
        <f t="shared" si="1"/>
        <v>5</v>
      </c>
      <c r="O6" s="47">
        <f t="shared" si="0"/>
        <v>-820</v>
      </c>
      <c r="P6" s="63">
        <f t="shared" si="2"/>
        <v>-7882</v>
      </c>
      <c r="Q6" s="49">
        <f t="shared" si="3"/>
        <v>1480</v>
      </c>
    </row>
    <row r="7" spans="4:17" x14ac:dyDescent="0.3">
      <c r="D7" s="61">
        <v>63</v>
      </c>
      <c r="E7" s="55"/>
      <c r="F7" s="73">
        <v>220</v>
      </c>
      <c r="G7" s="55"/>
      <c r="H7" s="51"/>
      <c r="I7" s="70">
        <v>72</v>
      </c>
      <c r="J7" s="51"/>
      <c r="K7" s="55"/>
      <c r="L7" s="52"/>
      <c r="M7" s="47" cm="1">
        <f t="array" ref="M7">SUM(I7:L7-E7:H7)</f>
        <v>-148</v>
      </c>
      <c r="N7" s="47">
        <f t="shared" si="1"/>
        <v>10</v>
      </c>
      <c r="O7" s="47">
        <f t="shared" si="0"/>
        <v>-1480</v>
      </c>
      <c r="P7" s="63">
        <f t="shared" si="2"/>
        <v>-9362</v>
      </c>
      <c r="Q7" s="49">
        <f t="shared" si="3"/>
        <v>0</v>
      </c>
    </row>
    <row r="8" spans="4:17" x14ac:dyDescent="0.3">
      <c r="D8" s="61">
        <v>-6</v>
      </c>
      <c r="E8" s="55"/>
      <c r="F8" s="51"/>
      <c r="G8" s="55"/>
      <c r="H8" s="51"/>
      <c r="I8" s="70">
        <v>72</v>
      </c>
      <c r="J8" s="71">
        <v>7</v>
      </c>
      <c r="K8" s="55"/>
      <c r="L8" s="52"/>
      <c r="M8" s="47" cm="1">
        <f t="array" ref="M8">SUM(I8:L8-E8:H8)</f>
        <v>79</v>
      </c>
      <c r="N8" s="47">
        <f t="shared" si="1"/>
        <v>69</v>
      </c>
      <c r="O8" s="47">
        <f t="shared" si="0"/>
        <v>5451</v>
      </c>
      <c r="P8" s="63">
        <f t="shared" si="2"/>
        <v>-3911</v>
      </c>
      <c r="Q8" s="49">
        <f t="shared" si="3"/>
        <v>5451</v>
      </c>
    </row>
    <row r="9" spans="4:17" x14ac:dyDescent="0.3">
      <c r="D9" s="61">
        <v>-7</v>
      </c>
      <c r="E9" s="55"/>
      <c r="F9" s="51"/>
      <c r="G9" s="55"/>
      <c r="H9" s="51"/>
      <c r="I9" s="70">
        <v>72</v>
      </c>
      <c r="J9" s="71">
        <v>7</v>
      </c>
      <c r="K9" s="55"/>
      <c r="L9" s="52"/>
      <c r="M9" s="47" cm="1">
        <f t="array" ref="M9">SUM(I9:L9-E9:H9)</f>
        <v>79</v>
      </c>
      <c r="N9" s="47">
        <f t="shared" si="1"/>
        <v>1</v>
      </c>
      <c r="O9" s="47">
        <f t="shared" si="0"/>
        <v>79</v>
      </c>
      <c r="P9" s="63">
        <f t="shared" si="2"/>
        <v>-3832</v>
      </c>
      <c r="Q9" s="49">
        <f t="shared" si="3"/>
        <v>5530</v>
      </c>
    </row>
    <row r="10" spans="4:17" x14ac:dyDescent="0.3">
      <c r="D10" s="61">
        <v>-13</v>
      </c>
      <c r="E10" s="55"/>
      <c r="F10" s="51"/>
      <c r="G10" s="55"/>
      <c r="H10" s="51"/>
      <c r="I10" s="55"/>
      <c r="J10" s="71">
        <v>7</v>
      </c>
      <c r="K10" s="70">
        <v>53</v>
      </c>
      <c r="L10" s="52"/>
      <c r="M10" s="47" cm="1">
        <f t="array" ref="M10">SUM(I10:L10-E10:H10)</f>
        <v>60</v>
      </c>
      <c r="N10" s="47">
        <f t="shared" si="1"/>
        <v>6</v>
      </c>
      <c r="O10" s="47">
        <f t="shared" si="0"/>
        <v>360</v>
      </c>
      <c r="P10" s="63">
        <f t="shared" si="2"/>
        <v>-3472</v>
      </c>
      <c r="Q10" s="49">
        <f t="shared" si="3"/>
        <v>5890</v>
      </c>
    </row>
    <row r="11" spans="4:17" x14ac:dyDescent="0.3">
      <c r="D11" s="61">
        <v>-21</v>
      </c>
      <c r="E11" s="55"/>
      <c r="F11" s="51"/>
      <c r="G11" s="55"/>
      <c r="H11" s="51"/>
      <c r="I11" s="55"/>
      <c r="J11" s="51"/>
      <c r="K11" s="70">
        <v>53</v>
      </c>
      <c r="L11" s="52"/>
      <c r="M11" s="47" cm="1">
        <f t="array" ref="M11">SUM(I11:L11-E11:H11)</f>
        <v>53</v>
      </c>
      <c r="N11" s="47">
        <f t="shared" si="1"/>
        <v>8</v>
      </c>
      <c r="O11" s="47">
        <f t="shared" si="0"/>
        <v>424</v>
      </c>
      <c r="P11" s="63">
        <f t="shared" si="2"/>
        <v>-3048</v>
      </c>
      <c r="Q11" s="49">
        <f t="shared" si="3"/>
        <v>6314</v>
      </c>
    </row>
    <row r="12" spans="4:17" x14ac:dyDescent="0.3">
      <c r="D12" s="62">
        <v>-22</v>
      </c>
      <c r="E12" s="56"/>
      <c r="F12" s="53"/>
      <c r="G12" s="56"/>
      <c r="H12" s="53"/>
      <c r="I12" s="56"/>
      <c r="J12" s="53"/>
      <c r="K12" s="56"/>
      <c r="L12" s="72">
        <v>53</v>
      </c>
      <c r="M12" s="48" cm="1">
        <f t="array" ref="M12">SUM(I12:L12-E12:H12)</f>
        <v>53</v>
      </c>
      <c r="N12" s="48">
        <f t="shared" si="1"/>
        <v>1</v>
      </c>
      <c r="O12" s="48">
        <f t="shared" si="0"/>
        <v>53</v>
      </c>
      <c r="P12" s="64">
        <f t="shared" si="2"/>
        <v>-2995</v>
      </c>
      <c r="Q12" s="50">
        <f t="shared" si="3"/>
        <v>6367</v>
      </c>
    </row>
    <row r="14" spans="4:17" x14ac:dyDescent="0.3">
      <c r="P14">
        <v>0</v>
      </c>
      <c r="Q14">
        <v>85</v>
      </c>
    </row>
    <row r="15" spans="4:17" x14ac:dyDescent="0.3">
      <c r="D15" s="75">
        <v>270</v>
      </c>
      <c r="K15">
        <v>2.5</v>
      </c>
      <c r="M15" cm="1">
        <f t="array" ref="M15">SUM(I15:L15-E15:H15)</f>
        <v>2.5</v>
      </c>
      <c r="N15">
        <f t="shared" ref="N15:N23" si="4">D15-D16</f>
        <v>30</v>
      </c>
      <c r="O15">
        <f t="shared" ref="O15:O23" si="5">N15*M15</f>
        <v>75</v>
      </c>
      <c r="P15">
        <f t="shared" ref="P15:P23" si="6">P14+O15</f>
        <v>75</v>
      </c>
      <c r="Q15">
        <f t="shared" ref="Q15:Q23" si="7">O15+Q14</f>
        <v>160</v>
      </c>
    </row>
    <row r="16" spans="4:17" x14ac:dyDescent="0.3">
      <c r="D16" s="75">
        <v>240</v>
      </c>
      <c r="E16">
        <v>5</v>
      </c>
      <c r="K16">
        <v>2.5</v>
      </c>
      <c r="M16" cm="1">
        <f t="array" ref="M16">SUM(I16:L16-E16:H16)</f>
        <v>-2.5</v>
      </c>
      <c r="N16">
        <f t="shared" si="4"/>
        <v>10</v>
      </c>
      <c r="O16">
        <f t="shared" si="5"/>
        <v>-25</v>
      </c>
      <c r="P16">
        <f t="shared" si="6"/>
        <v>50</v>
      </c>
      <c r="Q16">
        <f t="shared" si="7"/>
        <v>135</v>
      </c>
    </row>
    <row r="17" spans="4:17" x14ac:dyDescent="0.3">
      <c r="D17" s="75">
        <v>230</v>
      </c>
      <c r="E17">
        <v>5</v>
      </c>
      <c r="I17">
        <v>4</v>
      </c>
      <c r="K17">
        <v>2.5</v>
      </c>
      <c r="M17" cm="1">
        <f t="array" ref="M17">SUM(I17:L17-E17:H17)</f>
        <v>1.5</v>
      </c>
      <c r="N17">
        <f t="shared" si="4"/>
        <v>60</v>
      </c>
      <c r="O17">
        <f t="shared" si="5"/>
        <v>90</v>
      </c>
      <c r="P17">
        <f t="shared" si="6"/>
        <v>140</v>
      </c>
      <c r="Q17">
        <f t="shared" si="7"/>
        <v>225</v>
      </c>
    </row>
    <row r="18" spans="4:17" x14ac:dyDescent="0.3">
      <c r="D18" s="75">
        <v>170</v>
      </c>
      <c r="E18">
        <v>5</v>
      </c>
      <c r="F18">
        <v>16</v>
      </c>
      <c r="I18">
        <v>4</v>
      </c>
      <c r="J18">
        <v>10</v>
      </c>
      <c r="K18">
        <v>2.5</v>
      </c>
      <c r="M18" cm="1">
        <f t="array" ref="M18">SUM(I18:L18-E18:H18)</f>
        <v>-4.5</v>
      </c>
      <c r="N18">
        <f t="shared" si="4"/>
        <v>50</v>
      </c>
      <c r="O18">
        <f t="shared" si="5"/>
        <v>-225</v>
      </c>
      <c r="P18">
        <f t="shared" si="6"/>
        <v>-85</v>
      </c>
      <c r="Q18">
        <f t="shared" si="7"/>
        <v>0</v>
      </c>
    </row>
    <row r="19" spans="4:17" x14ac:dyDescent="0.3">
      <c r="D19" s="75">
        <v>120</v>
      </c>
      <c r="E19">
        <v>5</v>
      </c>
      <c r="I19">
        <v>4</v>
      </c>
      <c r="J19">
        <v>10</v>
      </c>
      <c r="K19">
        <v>2.5</v>
      </c>
      <c r="M19" cm="1">
        <f t="array" ref="M19">SUM(I19:L19-E19:H19)</f>
        <v>11.5</v>
      </c>
      <c r="N19">
        <f t="shared" si="4"/>
        <v>10</v>
      </c>
      <c r="O19">
        <f t="shared" si="5"/>
        <v>115</v>
      </c>
      <c r="P19">
        <f t="shared" si="6"/>
        <v>30</v>
      </c>
      <c r="Q19">
        <f t="shared" si="7"/>
        <v>115</v>
      </c>
    </row>
    <row r="20" spans="4:17" x14ac:dyDescent="0.3">
      <c r="D20" s="75">
        <v>110</v>
      </c>
      <c r="E20">
        <v>5</v>
      </c>
      <c r="I20">
        <v>4</v>
      </c>
      <c r="K20">
        <v>2.5</v>
      </c>
      <c r="M20" cm="1">
        <f t="array" ref="M20">SUM(I20:L20-E20:H20)</f>
        <v>1.5</v>
      </c>
      <c r="N20">
        <f t="shared" si="4"/>
        <v>40</v>
      </c>
      <c r="O20">
        <f t="shared" si="5"/>
        <v>60</v>
      </c>
      <c r="P20">
        <f t="shared" si="6"/>
        <v>90</v>
      </c>
      <c r="Q20">
        <f t="shared" si="7"/>
        <v>175</v>
      </c>
    </row>
    <row r="21" spans="4:17" x14ac:dyDescent="0.3">
      <c r="D21" s="75">
        <v>70</v>
      </c>
      <c r="E21">
        <v>5</v>
      </c>
      <c r="I21">
        <v>4</v>
      </c>
      <c r="M21" cm="1">
        <f t="array" ref="M21">SUM(I21:L21-E21:H21)</f>
        <v>-1</v>
      </c>
      <c r="N21">
        <f t="shared" si="4"/>
        <v>10</v>
      </c>
      <c r="O21">
        <f t="shared" si="5"/>
        <v>-10</v>
      </c>
      <c r="P21">
        <f t="shared" si="6"/>
        <v>80</v>
      </c>
      <c r="Q21">
        <f t="shared" si="7"/>
        <v>165</v>
      </c>
    </row>
    <row r="22" spans="4:17" x14ac:dyDescent="0.3">
      <c r="D22" s="75">
        <v>60</v>
      </c>
      <c r="E22">
        <v>5</v>
      </c>
      <c r="I22">
        <v>4</v>
      </c>
      <c r="M22" cm="1">
        <f t="array" ref="M22">SUM(I22:L22-E22:H22)</f>
        <v>-1</v>
      </c>
      <c r="N22">
        <f t="shared" si="4"/>
        <v>30</v>
      </c>
      <c r="O22">
        <f t="shared" si="5"/>
        <v>-30</v>
      </c>
      <c r="P22">
        <f t="shared" si="6"/>
        <v>50</v>
      </c>
      <c r="Q22">
        <f t="shared" si="7"/>
        <v>135</v>
      </c>
    </row>
    <row r="23" spans="4:17" x14ac:dyDescent="0.3">
      <c r="D23" s="75">
        <v>30</v>
      </c>
      <c r="I23">
        <v>4</v>
      </c>
      <c r="M23" cm="1">
        <f t="array" ref="M23">SUM(I23:L23-E23:H23)</f>
        <v>4</v>
      </c>
      <c r="N23">
        <f t="shared" si="4"/>
        <v>30</v>
      </c>
      <c r="O23">
        <f t="shared" si="5"/>
        <v>120</v>
      </c>
      <c r="P23">
        <f t="shared" si="6"/>
        <v>170</v>
      </c>
      <c r="Q23">
        <f t="shared" si="7"/>
        <v>255</v>
      </c>
    </row>
    <row r="24" spans="4:17" x14ac:dyDescent="0.3">
      <c r="O24">
        <f>SUM(SUM(O15,O17,O19:O20,O23)+ABS(O16-O18-O21-O22))</f>
        <v>700</v>
      </c>
      <c r="Q24">
        <f>Q23</f>
        <v>255</v>
      </c>
    </row>
  </sheetData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AC979-247A-4EC0-BEE5-EAFE91D6E08B}">
  <dimension ref="C3:Y27"/>
  <sheetViews>
    <sheetView zoomScale="46" zoomScaleNormal="70" workbookViewId="0">
      <selection activeCell="O45" sqref="O45"/>
    </sheetView>
  </sheetViews>
  <sheetFormatPr defaultRowHeight="14.4" x14ac:dyDescent="0.3"/>
  <cols>
    <col min="3" max="3" width="23.88671875" customWidth="1"/>
    <col min="4" max="4" width="12" hidden="1" customWidth="1"/>
    <col min="5" max="5" width="17.5546875" customWidth="1"/>
    <col min="6" max="6" width="18.77734375" hidden="1" customWidth="1"/>
    <col min="7" max="7" width="19" customWidth="1"/>
    <col min="8" max="8" width="17.21875" hidden="1" customWidth="1"/>
    <col min="9" max="9" width="17.5546875" customWidth="1"/>
    <col min="11" max="11" width="8.109375" hidden="1" customWidth="1"/>
    <col min="12" max="12" width="17.21875" customWidth="1"/>
    <col min="13" max="13" width="16.44140625" hidden="1" customWidth="1"/>
    <col min="14" max="14" width="13" customWidth="1"/>
    <col min="15" max="15" width="11.77734375" hidden="1" customWidth="1"/>
    <col min="16" max="16" width="12.109375" customWidth="1"/>
    <col min="17" max="17" width="17.109375" customWidth="1"/>
    <col min="18" max="18" width="10.88671875" hidden="1" customWidth="1"/>
    <col min="19" max="19" width="17.77734375" customWidth="1"/>
    <col min="20" max="20" width="26.109375" hidden="1" customWidth="1"/>
    <col min="21" max="21" width="18.44140625" customWidth="1"/>
    <col min="22" max="22" width="11.77734375" hidden="1" customWidth="1"/>
    <col min="23" max="23" width="18.6640625" customWidth="1"/>
  </cols>
  <sheetData>
    <row r="3" spans="3:25" x14ac:dyDescent="0.3">
      <c r="C3" s="84" t="s">
        <v>115</v>
      </c>
      <c r="D3" s="84"/>
      <c r="E3" s="84" t="s">
        <v>103</v>
      </c>
      <c r="F3" s="84" t="s">
        <v>104</v>
      </c>
      <c r="G3" s="84" t="s">
        <v>104</v>
      </c>
      <c r="H3" s="84" t="s">
        <v>105</v>
      </c>
      <c r="I3" s="84" t="s">
        <v>105</v>
      </c>
      <c r="J3" s="84"/>
      <c r="K3" s="84"/>
      <c r="L3" s="84" t="s">
        <v>103</v>
      </c>
      <c r="M3" s="84" t="s">
        <v>104</v>
      </c>
      <c r="N3" s="84" t="s">
        <v>104</v>
      </c>
      <c r="O3" s="84" t="s">
        <v>108</v>
      </c>
      <c r="P3" s="84" t="s">
        <v>108</v>
      </c>
      <c r="Q3" s="84"/>
      <c r="R3" s="84" t="s">
        <v>103</v>
      </c>
      <c r="S3" s="84" t="s">
        <v>103</v>
      </c>
      <c r="T3" s="84"/>
      <c r="U3" s="84" t="s">
        <v>104</v>
      </c>
      <c r="V3" s="84" t="s">
        <v>105</v>
      </c>
      <c r="W3" s="84" t="s">
        <v>105</v>
      </c>
    </row>
    <row r="4" spans="3:25" x14ac:dyDescent="0.3">
      <c r="C4" s="106" t="s">
        <v>106</v>
      </c>
      <c r="D4" s="106"/>
      <c r="E4" s="106"/>
      <c r="F4" s="106"/>
      <c r="G4" s="106"/>
      <c r="H4" s="106"/>
      <c r="I4" s="106"/>
      <c r="J4" s="105" t="s">
        <v>109</v>
      </c>
      <c r="K4" s="105"/>
      <c r="L4" s="105"/>
      <c r="M4" s="105"/>
      <c r="N4" s="105"/>
      <c r="O4" s="105"/>
      <c r="P4" s="105"/>
      <c r="Q4" s="104" t="s">
        <v>120</v>
      </c>
      <c r="R4" s="104"/>
      <c r="S4" s="104"/>
      <c r="T4" s="104"/>
      <c r="U4" s="104"/>
      <c r="V4" s="104"/>
      <c r="W4" s="104"/>
    </row>
    <row r="5" spans="3:25" x14ac:dyDescent="0.3">
      <c r="C5" s="2" t="s">
        <v>117</v>
      </c>
      <c r="D5" s="79">
        <v>3974581137666.7998</v>
      </c>
      <c r="E5" s="79">
        <f>D5 * 10^-14</f>
        <v>3.9745811376668001E-2</v>
      </c>
      <c r="F5" s="80">
        <v>489573737588047</v>
      </c>
      <c r="G5" s="80">
        <f>F5*10^-9</f>
        <v>489573.73758804705</v>
      </c>
      <c r="H5" s="79">
        <v>3745498326746</v>
      </c>
      <c r="I5" s="79">
        <f>H5 * 10^-14</f>
        <v>3.7454983267460003E-2</v>
      </c>
      <c r="J5" s="2" t="s">
        <v>117</v>
      </c>
      <c r="K5" s="77">
        <v>4380800579567.8398</v>
      </c>
      <c r="L5" s="77">
        <f>K5*10^-14</f>
        <v>4.3808005795678395E-2</v>
      </c>
      <c r="M5" s="78">
        <v>466090243458951</v>
      </c>
      <c r="N5" s="1">
        <f>M5*10^-9</f>
        <v>466090.24345895101</v>
      </c>
      <c r="O5" s="77">
        <v>4162706235618</v>
      </c>
      <c r="P5" s="77">
        <f>O5 * 10^-14</f>
        <v>4.1627062356180002E-2</v>
      </c>
      <c r="Q5" s="2" t="s">
        <v>117</v>
      </c>
      <c r="R5" s="83">
        <v>6045420849460.3604</v>
      </c>
      <c r="S5" s="83">
        <f>R5*10^-14</f>
        <v>6.0454208494603603E-2</v>
      </c>
      <c r="T5" s="82">
        <v>444477742313005</v>
      </c>
      <c r="U5" s="82">
        <f>T5*10^-9</f>
        <v>444477.74231300503</v>
      </c>
      <c r="V5" s="83">
        <v>5837439491836</v>
      </c>
      <c r="W5" s="83">
        <f>V5 * 10^-14</f>
        <v>5.8374394918360002E-2</v>
      </c>
      <c r="Y5" t="s">
        <v>116</v>
      </c>
    </row>
    <row r="6" spans="3:25" x14ac:dyDescent="0.3">
      <c r="C6" s="2" t="s">
        <v>118</v>
      </c>
      <c r="D6" s="79">
        <v>3974108295611.0298</v>
      </c>
      <c r="E6" s="79">
        <f t="shared" ref="E6:E9" si="0">D6 * 10^-14</f>
        <v>3.9741082956110299E-2</v>
      </c>
      <c r="F6" s="80">
        <v>488563225050673</v>
      </c>
      <c r="G6" s="80">
        <f t="shared" ref="G6:G9" si="1">F6*10^-9</f>
        <v>488563.22505067301</v>
      </c>
      <c r="H6" s="79">
        <v>3745498326746</v>
      </c>
      <c r="I6" s="79">
        <f>H6 * 10^-14</f>
        <v>3.7454983267460003E-2</v>
      </c>
      <c r="J6" s="2" t="s">
        <v>118</v>
      </c>
      <c r="K6" s="77">
        <v>4380434587730.8799</v>
      </c>
      <c r="L6" s="77">
        <f t="shared" ref="L6:L9" si="2">K6*10^-14</f>
        <v>4.3804345877308797E-2</v>
      </c>
      <c r="M6" s="78">
        <v>465308080926407</v>
      </c>
      <c r="N6" s="1">
        <f t="shared" ref="N6:N9" si="3">M6*10^-9</f>
        <v>465308.08092640701</v>
      </c>
      <c r="O6" s="77">
        <v>4162706235618</v>
      </c>
      <c r="P6" s="77">
        <f>O6 * 10^-14</f>
        <v>4.1627062356180002E-2</v>
      </c>
      <c r="Q6" s="2" t="s">
        <v>118</v>
      </c>
      <c r="R6" s="83">
        <v>6045101610108.4199</v>
      </c>
      <c r="S6" s="83">
        <f t="shared" ref="S6:S9" si="4">R6*10^-14</f>
        <v>6.04510161010842E-2</v>
      </c>
      <c r="T6" s="82">
        <v>443795494692196</v>
      </c>
      <c r="U6" s="82">
        <f>T6*10^-9</f>
        <v>443795.49469219602</v>
      </c>
      <c r="V6" s="83">
        <v>5837439491836</v>
      </c>
      <c r="W6" s="83">
        <f>V6 * 10^-14</f>
        <v>5.8374394918360002E-2</v>
      </c>
    </row>
    <row r="7" spans="3:25" x14ac:dyDescent="0.3">
      <c r="C7" s="2" t="s">
        <v>119</v>
      </c>
      <c r="D7" s="79">
        <v>3365434600564.9502</v>
      </c>
      <c r="E7" s="79">
        <f t="shared" si="0"/>
        <v>3.3654346005649503E-2</v>
      </c>
      <c r="F7" s="80">
        <v>692103332767980</v>
      </c>
      <c r="G7" s="80">
        <f t="shared" si="1"/>
        <v>692103.33276798006</v>
      </c>
      <c r="H7" s="79">
        <v>3041583534330.7598</v>
      </c>
      <c r="I7" s="79">
        <f>H7 * 10^-14</f>
        <v>3.0415835343307596E-2</v>
      </c>
      <c r="J7" s="2" t="s">
        <v>119</v>
      </c>
      <c r="K7" s="77">
        <v>3677361681246.3901</v>
      </c>
      <c r="L7" s="77">
        <f t="shared" si="2"/>
        <v>3.6773616812463904E-2</v>
      </c>
      <c r="M7" s="78">
        <v>670000420962982</v>
      </c>
      <c r="N7" s="1">
        <f t="shared" si="3"/>
        <v>670000.420962982</v>
      </c>
      <c r="O7" s="77">
        <v>3363853075763.3999</v>
      </c>
      <c r="P7" s="77">
        <f>O7 * 10^-14</f>
        <v>3.3638530757633997E-2</v>
      </c>
      <c r="Q7" s="2" t="s">
        <v>119</v>
      </c>
      <c r="R7" s="83">
        <v>4961574865749.5098</v>
      </c>
      <c r="S7" s="83">
        <f t="shared" si="4"/>
        <v>4.9615748657495094E-2</v>
      </c>
      <c r="T7" s="82">
        <v>649861103377807</v>
      </c>
      <c r="U7" s="82">
        <f>T7*10^-9</f>
        <v>649861.10337780707</v>
      </c>
      <c r="V7" s="83">
        <v>4657489910123.9805</v>
      </c>
      <c r="W7" s="83">
        <f>V7 * 10^-14</f>
        <v>4.6574899101239804E-2</v>
      </c>
    </row>
    <row r="8" spans="3:25" x14ac:dyDescent="0.3">
      <c r="C8" s="2" t="s">
        <v>121</v>
      </c>
      <c r="D8" s="79">
        <v>3212434928681.6099</v>
      </c>
      <c r="E8" s="79">
        <f t="shared" si="0"/>
        <v>3.2124349286816095E-2</v>
      </c>
      <c r="F8" s="80">
        <v>723303099163420</v>
      </c>
      <c r="G8" s="80">
        <f t="shared" si="1"/>
        <v>723303.09916342003</v>
      </c>
      <c r="H8" s="79">
        <v>2873984774226</v>
      </c>
      <c r="I8" s="79">
        <f>H8 * 10^-14</f>
        <v>2.8739847742259999E-2</v>
      </c>
      <c r="J8" s="2" t="s">
        <v>121</v>
      </c>
      <c r="K8" s="77">
        <v>3501696631367.5498</v>
      </c>
      <c r="L8" s="77">
        <f t="shared" si="2"/>
        <v>3.5016966313675499E-2</v>
      </c>
      <c r="M8" s="78">
        <v>701069813781678</v>
      </c>
      <c r="N8" s="1">
        <f t="shared" si="3"/>
        <v>701069.81378167809</v>
      </c>
      <c r="O8" s="77">
        <v>3173649942458</v>
      </c>
      <c r="P8" s="77">
        <f>O8 * 10^-14</f>
        <v>3.1736499424579998E-2</v>
      </c>
      <c r="Q8" s="2" t="s">
        <v>121</v>
      </c>
      <c r="R8" s="83">
        <v>4695267388621.6797</v>
      </c>
      <c r="S8" s="83">
        <f t="shared" si="4"/>
        <v>4.6952673886216795E-2</v>
      </c>
      <c r="T8" s="82">
        <v>681133127941570</v>
      </c>
      <c r="U8" s="82">
        <f>T8*10^-9</f>
        <v>681133.12794157001</v>
      </c>
      <c r="V8" s="83">
        <v>4376549533516</v>
      </c>
      <c r="W8" s="83">
        <f>V8 * 10^-14</f>
        <v>4.3765495335159998E-2</v>
      </c>
    </row>
    <row r="9" spans="3:25" x14ac:dyDescent="0.3">
      <c r="C9" s="2" t="s">
        <v>122</v>
      </c>
      <c r="D9" s="79">
        <v>3151444765816.6699</v>
      </c>
      <c r="E9" s="79">
        <f t="shared" si="0"/>
        <v>3.1514447658166696E-2</v>
      </c>
      <c r="F9" s="80">
        <v>592960792510765</v>
      </c>
      <c r="G9" s="80">
        <f t="shared" si="1"/>
        <v>592960.79251076502</v>
      </c>
      <c r="H9" s="79">
        <v>2873984774226</v>
      </c>
      <c r="I9" s="79">
        <f>H9 * 10^-14</f>
        <v>2.8739847742259999E-2</v>
      </c>
      <c r="J9" s="2" t="s">
        <v>122</v>
      </c>
      <c r="K9" s="77">
        <v>3440739201320.7002</v>
      </c>
      <c r="L9" s="77">
        <f t="shared" si="2"/>
        <v>3.4407392013207E-2</v>
      </c>
      <c r="M9" s="78">
        <v>570797460557777</v>
      </c>
      <c r="N9" s="1">
        <f t="shared" si="3"/>
        <v>570797.46055777709</v>
      </c>
      <c r="O9" s="77">
        <v>3173649942458</v>
      </c>
      <c r="P9" s="77">
        <f>O9 * 10^-14</f>
        <v>3.1736499424579998E-2</v>
      </c>
      <c r="Q9" s="2" t="s">
        <v>122</v>
      </c>
      <c r="R9" s="83">
        <v>4634329494913.3896</v>
      </c>
      <c r="S9" s="83">
        <f t="shared" si="4"/>
        <v>4.6343294949133897E-2</v>
      </c>
      <c r="T9" s="82">
        <v>550902525900354</v>
      </c>
      <c r="U9" s="82">
        <f>T9*10^-9</f>
        <v>550902.52590035403</v>
      </c>
      <c r="V9" s="83">
        <v>4376549533516</v>
      </c>
      <c r="W9" s="83">
        <f>V9 * 10^-14</f>
        <v>4.3765495335159998E-2</v>
      </c>
    </row>
    <row r="10" spans="3:25" x14ac:dyDescent="0.3">
      <c r="C10" s="105" t="s">
        <v>110</v>
      </c>
      <c r="D10" s="105"/>
      <c r="E10" s="105"/>
      <c r="F10" s="105"/>
      <c r="G10" s="105"/>
      <c r="H10" s="105"/>
      <c r="I10" s="105"/>
      <c r="J10" s="104" t="s">
        <v>111</v>
      </c>
      <c r="K10" s="104"/>
      <c r="L10" s="104"/>
      <c r="M10" s="104"/>
      <c r="N10" s="104"/>
      <c r="O10" s="104"/>
      <c r="P10" s="104"/>
      <c r="Q10" s="107" t="s">
        <v>114</v>
      </c>
      <c r="R10" s="107"/>
      <c r="S10" s="107"/>
      <c r="T10" s="107"/>
      <c r="U10" s="107"/>
      <c r="V10" s="107"/>
      <c r="W10" s="107"/>
    </row>
    <row r="11" spans="3:25" x14ac:dyDescent="0.3">
      <c r="C11" s="2" t="s">
        <v>117</v>
      </c>
      <c r="D11" s="1">
        <v>0.18127593776315901</v>
      </c>
      <c r="E11" s="92">
        <f>D11</f>
        <v>0.18127593776315901</v>
      </c>
      <c r="F11" s="78">
        <v>730883823195385</v>
      </c>
      <c r="G11" s="78">
        <f>F11*10^-9</f>
        <v>730883.82319538505</v>
      </c>
      <c r="H11" s="1">
        <v>0.17785596426746</v>
      </c>
      <c r="I11" s="77">
        <f>H11</f>
        <v>0.17785596426746</v>
      </c>
      <c r="J11" s="2" t="s">
        <v>117</v>
      </c>
      <c r="K11" s="83">
        <v>0.18533813218216899</v>
      </c>
      <c r="L11" s="83">
        <f>K11</f>
        <v>0.18533813218216899</v>
      </c>
      <c r="M11" s="82">
        <v>707400329066288</v>
      </c>
      <c r="N11" s="81">
        <f>M11*10^-9</f>
        <v>707400.32906628808</v>
      </c>
      <c r="O11" s="83">
        <v>0.18202804335618</v>
      </c>
      <c r="P11" s="83">
        <f>O11</f>
        <v>0.18202804335618</v>
      </c>
      <c r="Q11" s="2" t="s">
        <v>117</v>
      </c>
      <c r="R11" s="84">
        <v>0.20390720392864201</v>
      </c>
      <c r="S11" s="84">
        <f>R11</f>
        <v>0.20390720392864201</v>
      </c>
      <c r="T11" s="85">
        <v>109672489592476</v>
      </c>
      <c r="U11" s="85">
        <f>T11*10^-8</f>
        <v>1096724.89592476</v>
      </c>
      <c r="V11" s="84">
        <v>0.19877537591836</v>
      </c>
      <c r="W11" s="86">
        <f>V11</f>
        <v>0.19877537591836</v>
      </c>
    </row>
    <row r="12" spans="3:25" x14ac:dyDescent="0.3">
      <c r="C12" s="2" t="s">
        <v>118</v>
      </c>
      <c r="D12" s="1">
        <v>0.18126092853873399</v>
      </c>
      <c r="E12" s="92">
        <f>D12</f>
        <v>0.18126092853873399</v>
      </c>
      <c r="F12" s="78">
        <v>727676196193367</v>
      </c>
      <c r="G12" s="78">
        <f t="shared" ref="G12:G15" si="5">F12*10^-9</f>
        <v>727676.19619336701</v>
      </c>
      <c r="H12" s="1">
        <v>0.17785596426746</v>
      </c>
      <c r="I12" s="77">
        <f t="shared" ref="I12:I15" si="6">H12</f>
        <v>0.17785596426746</v>
      </c>
      <c r="J12" s="2" t="s">
        <v>118</v>
      </c>
      <c r="K12" s="83">
        <v>0.18532419145993201</v>
      </c>
      <c r="L12" s="83">
        <f t="shared" ref="L12:L15" si="7">K12</f>
        <v>0.18532419145993201</v>
      </c>
      <c r="M12" s="82">
        <v>704421052069101</v>
      </c>
      <c r="N12" s="81">
        <f t="shared" ref="N12:N15" si="8">M12*10^-9</f>
        <v>704421.05206910102</v>
      </c>
      <c r="O12" s="83">
        <v>0.18202804335618</v>
      </c>
      <c r="P12" s="83">
        <f t="shared" ref="P12:P15" si="9">O12</f>
        <v>0.18202804335618</v>
      </c>
      <c r="Q12" s="2" t="s">
        <v>118</v>
      </c>
      <c r="R12" s="84">
        <v>0.203884555362847</v>
      </c>
      <c r="S12" s="84">
        <f t="shared" ref="S12:S15" si="10">R12</f>
        <v>0.203884555362847</v>
      </c>
      <c r="T12" s="85">
        <v>109188466240291</v>
      </c>
      <c r="U12" s="85">
        <f>T12*10^-8</f>
        <v>1091884.6624029099</v>
      </c>
      <c r="V12" s="84">
        <v>0.19877537591836</v>
      </c>
      <c r="W12" s="86">
        <f t="shared" ref="W12:W15" si="11">V12</f>
        <v>0.19877537591836</v>
      </c>
    </row>
    <row r="13" spans="3:25" x14ac:dyDescent="0.3">
      <c r="C13" s="2" t="s">
        <v>119</v>
      </c>
      <c r="D13" s="1">
        <v>0.154054731150889</v>
      </c>
      <c r="E13" s="92">
        <f t="shared" ref="E13:E14" si="12">D13</f>
        <v>0.154054731150889</v>
      </c>
      <c r="F13" s="78">
        <v>925496038470810</v>
      </c>
      <c r="G13" s="78">
        <f t="shared" si="5"/>
        <v>925496.03847081005</v>
      </c>
      <c r="H13" s="1">
        <v>0.14972412234345001</v>
      </c>
      <c r="I13" s="77">
        <f t="shared" si="6"/>
        <v>0.14972412234345001</v>
      </c>
      <c r="J13" s="2" t="s">
        <v>119</v>
      </c>
      <c r="K13" s="83">
        <v>0.15717400195770401</v>
      </c>
      <c r="L13" s="83">
        <f t="shared" si="7"/>
        <v>0.15717400195770401</v>
      </c>
      <c r="M13" s="82">
        <v>903393126665812</v>
      </c>
      <c r="N13" s="81">
        <f t="shared" si="8"/>
        <v>903393.1266658121</v>
      </c>
      <c r="O13" s="83">
        <v>0.15294681775777699</v>
      </c>
      <c r="P13" s="83">
        <f t="shared" si="9"/>
        <v>0.15294681775777699</v>
      </c>
      <c r="Q13" s="2" t="s">
        <v>119</v>
      </c>
      <c r="R13" s="84">
        <v>0.17175388843145001</v>
      </c>
      <c r="S13" s="84">
        <f t="shared" si="10"/>
        <v>0.17175388843145001</v>
      </c>
      <c r="T13" s="85">
        <v>125463000495116</v>
      </c>
      <c r="U13" s="85">
        <f>T13*10^-8</f>
        <v>1254630.0049511599</v>
      </c>
      <c r="V13" s="84">
        <v>0.165883186101383</v>
      </c>
      <c r="W13" s="86">
        <f t="shared" si="11"/>
        <v>0.165883186101383</v>
      </c>
    </row>
    <row r="14" spans="3:25" x14ac:dyDescent="0.3">
      <c r="C14" s="2" t="s">
        <v>121</v>
      </c>
      <c r="D14" s="1">
        <v>0.14749554062527101</v>
      </c>
      <c r="E14" s="92">
        <f t="shared" si="12"/>
        <v>0.14749554062527101</v>
      </c>
      <c r="F14" s="78">
        <v>955173373466971</v>
      </c>
      <c r="G14" s="78">
        <f t="shared" si="5"/>
        <v>955173.3734669711</v>
      </c>
      <c r="H14" s="1">
        <v>0.14302606474226001</v>
      </c>
      <c r="I14" s="77">
        <f t="shared" si="6"/>
        <v>0.14302606474226001</v>
      </c>
      <c r="J14" s="2" t="s">
        <v>121</v>
      </c>
      <c r="K14" s="83">
        <v>0.15038815765213001</v>
      </c>
      <c r="L14" s="83">
        <f t="shared" si="7"/>
        <v>0.15038815765213001</v>
      </c>
      <c r="M14" s="82">
        <v>932940088085230</v>
      </c>
      <c r="N14" s="81">
        <f t="shared" si="8"/>
        <v>932940.08808523009</v>
      </c>
      <c r="O14" s="83">
        <v>0.14602271642458001</v>
      </c>
      <c r="P14" s="83">
        <f t="shared" si="9"/>
        <v>0.14602271642458001</v>
      </c>
      <c r="Q14" s="2" t="s">
        <v>121</v>
      </c>
      <c r="R14" s="84">
        <v>0.164042871967956</v>
      </c>
      <c r="S14" s="84">
        <f t="shared" si="10"/>
        <v>0.164042871967956</v>
      </c>
      <c r="T14" s="85">
        <v>128037298046269</v>
      </c>
      <c r="U14" s="85">
        <f>T14*10^-8</f>
        <v>1280372.9804626901</v>
      </c>
      <c r="V14" s="84">
        <v>0.15805171233515999</v>
      </c>
      <c r="W14" s="86">
        <f t="shared" si="11"/>
        <v>0.15805171233515999</v>
      </c>
    </row>
    <row r="15" spans="3:25" x14ac:dyDescent="0.3">
      <c r="C15" s="2" t="s">
        <v>122</v>
      </c>
      <c r="D15" s="1">
        <v>0.14654504557287901</v>
      </c>
      <c r="E15" s="92">
        <f>D15</f>
        <v>0.14654504557287901</v>
      </c>
      <c r="F15" s="78">
        <v>752042718011871</v>
      </c>
      <c r="G15" s="78">
        <f t="shared" si="5"/>
        <v>752042.7180118711</v>
      </c>
      <c r="H15" s="1">
        <v>0.14302606474226001</v>
      </c>
      <c r="I15" s="77">
        <f t="shared" si="6"/>
        <v>0.14302606474226001</v>
      </c>
      <c r="J15" s="2" t="s">
        <v>122</v>
      </c>
      <c r="K15" s="83">
        <v>0.14943798992791901</v>
      </c>
      <c r="L15" s="83">
        <f t="shared" si="7"/>
        <v>0.14943798992791901</v>
      </c>
      <c r="M15" s="82">
        <v>729879386058883</v>
      </c>
      <c r="N15" s="81">
        <f t="shared" si="8"/>
        <v>729879.38605888304</v>
      </c>
      <c r="O15" s="83">
        <v>0.14602271642458001</v>
      </c>
      <c r="P15" s="83">
        <f t="shared" si="9"/>
        <v>0.14602271642458001</v>
      </c>
      <c r="Q15" s="2" t="s">
        <v>122</v>
      </c>
      <c r="R15" s="84">
        <v>0.1624775553218</v>
      </c>
      <c r="S15" s="84">
        <f t="shared" si="10"/>
        <v>0.1624775553218</v>
      </c>
      <c r="T15" s="85">
        <v>945848570758305</v>
      </c>
      <c r="U15" s="85">
        <f>T15*10^-9</f>
        <v>945848.57075830502</v>
      </c>
      <c r="V15" s="84">
        <v>0.15805171233515999</v>
      </c>
      <c r="W15" s="86">
        <f t="shared" si="11"/>
        <v>0.15805171233515999</v>
      </c>
    </row>
    <row r="16" spans="3:25" x14ac:dyDescent="0.3">
      <c r="C16" s="104" t="s">
        <v>107</v>
      </c>
      <c r="D16" s="104"/>
      <c r="E16" s="104"/>
      <c r="F16" s="104"/>
      <c r="G16" s="104"/>
      <c r="H16" s="104"/>
      <c r="I16" s="104"/>
      <c r="J16" s="107" t="s">
        <v>112</v>
      </c>
      <c r="K16" s="107"/>
      <c r="L16" s="107"/>
      <c r="M16" s="107"/>
      <c r="N16" s="107"/>
      <c r="O16" s="107"/>
      <c r="P16" s="107"/>
      <c r="Q16" s="108" t="s">
        <v>113</v>
      </c>
      <c r="R16" s="108"/>
      <c r="S16" s="108"/>
      <c r="T16" s="108"/>
      <c r="U16" s="108"/>
      <c r="V16" s="108"/>
      <c r="W16" s="108"/>
    </row>
    <row r="17" spans="3:23" x14ac:dyDescent="0.3">
      <c r="C17" s="2" t="s">
        <v>117</v>
      </c>
      <c r="D17" s="83">
        <v>5504369006120.3096</v>
      </c>
      <c r="E17" s="83">
        <f>D17*10^-14</f>
        <v>5.5043690061203097E-2</v>
      </c>
      <c r="F17" s="82">
        <v>305059336803548</v>
      </c>
      <c r="G17" s="82">
        <f>F17*10^-9</f>
        <v>305059.33680354804</v>
      </c>
      <c r="H17" s="83">
        <v>5361624726746</v>
      </c>
      <c r="I17" s="83">
        <f>H17 * 10^-14</f>
        <v>5.3616247267459997E-2</v>
      </c>
      <c r="J17" s="2" t="s">
        <v>117</v>
      </c>
      <c r="K17" s="86">
        <v>5910588448021.3496</v>
      </c>
      <c r="L17" s="86">
        <f>K17*10^-14</f>
        <v>5.9105884480213498E-2</v>
      </c>
      <c r="M17" s="85">
        <v>281575842674451</v>
      </c>
      <c r="N17" s="84">
        <f>M17*10^-9</f>
        <v>281575.84267445101</v>
      </c>
      <c r="O17" s="86">
        <v>5778832635618</v>
      </c>
      <c r="P17" s="86">
        <f>O17 * 10^-14</f>
        <v>5.7788326356180003E-2</v>
      </c>
      <c r="Q17" s="2" t="s">
        <v>117</v>
      </c>
      <c r="R17" s="90">
        <v>7575208717913.8701</v>
      </c>
      <c r="S17" s="90">
        <f>R17*10^-14</f>
        <v>7.57520871791387E-2</v>
      </c>
      <c r="T17" s="89">
        <v>259963341528506</v>
      </c>
      <c r="U17" s="89">
        <f>T17*10^-9</f>
        <v>259963.34152850602</v>
      </c>
      <c r="V17" s="90">
        <v>7453565891836</v>
      </c>
      <c r="W17" s="90">
        <f>V17 * 10^-14</f>
        <v>7.4535658918360004E-2</v>
      </c>
    </row>
    <row r="18" spans="3:23" x14ac:dyDescent="0.3">
      <c r="C18" s="2" t="s">
        <v>118</v>
      </c>
      <c r="D18" s="83">
        <v>5503947384913.2998</v>
      </c>
      <c r="E18" s="83">
        <f t="shared" ref="E18:E21" si="13">D18*10^-14</f>
        <v>5.5039473849132999E-2</v>
      </c>
      <c r="F18" s="82">
        <v>304158288534872</v>
      </c>
      <c r="G18" s="82">
        <f t="shared" ref="G18:G21" si="14">F18*10^-9</f>
        <v>304158.288534872</v>
      </c>
      <c r="H18" s="83">
        <v>5361624726746</v>
      </c>
      <c r="I18" s="83">
        <f>H18 * 10^-14</f>
        <v>5.3616247267459997E-2</v>
      </c>
      <c r="J18" s="2" t="s">
        <v>118</v>
      </c>
      <c r="K18" s="86">
        <v>5910273677033.1396</v>
      </c>
      <c r="L18" s="86">
        <f t="shared" ref="L18:L21" si="15">K18*10^-14</f>
        <v>5.9102736770331399E-2</v>
      </c>
      <c r="M18" s="85">
        <v>280903144410606</v>
      </c>
      <c r="N18" s="84">
        <f t="shared" ref="N18:N21" si="16">M18*10^-9</f>
        <v>280903.14441060601</v>
      </c>
      <c r="O18" s="86">
        <v>5778832635618</v>
      </c>
      <c r="P18" s="86">
        <f>O18 * 10^-14</f>
        <v>5.7788326356180003E-2</v>
      </c>
      <c r="Q18" s="2" t="s">
        <v>118</v>
      </c>
      <c r="R18" s="90">
        <v>7574940699410.6797</v>
      </c>
      <c r="S18" s="90">
        <f t="shared" ref="S18:S21" si="17">R18*10^-14</f>
        <v>7.5749406994106802E-2</v>
      </c>
      <c r="T18" s="89">
        <v>259390558176395</v>
      </c>
      <c r="U18" s="89">
        <f>T18*10^-9</f>
        <v>259390.55817639502</v>
      </c>
      <c r="V18" s="90">
        <v>7453565891836</v>
      </c>
      <c r="W18" s="90">
        <f>V18 * 10^-14</f>
        <v>7.4535658918360004E-2</v>
      </c>
    </row>
    <row r="19" spans="3:23" x14ac:dyDescent="0.3">
      <c r="C19" s="2" t="s">
        <v>119</v>
      </c>
      <c r="D19" s="83">
        <v>4657288555249.7002</v>
      </c>
      <c r="E19" s="83">
        <f t="shared" si="13"/>
        <v>4.6572885552497001E-2</v>
      </c>
      <c r="F19" s="82">
        <v>517974585718768</v>
      </c>
      <c r="G19" s="82">
        <f t="shared" si="14"/>
        <v>517974.58571876801</v>
      </c>
      <c r="H19" s="83">
        <v>4414916334332.4004</v>
      </c>
      <c r="I19" s="83">
        <f>H19 * 10^-14</f>
        <v>4.4149163343324006E-2</v>
      </c>
      <c r="J19" s="2" t="s">
        <v>119</v>
      </c>
      <c r="K19" s="86">
        <v>4969215635931.1396</v>
      </c>
      <c r="L19" s="86">
        <f t="shared" si="15"/>
        <v>4.9692156359311394E-2</v>
      </c>
      <c r="M19" s="85">
        <v>495871673913770</v>
      </c>
      <c r="N19" s="84">
        <f t="shared" si="16"/>
        <v>495871.67391377001</v>
      </c>
      <c r="O19" s="86">
        <v>4737185875765.0498</v>
      </c>
      <c r="P19" s="86">
        <f>O19 * 10^-14</f>
        <v>4.7371858757650501E-2</v>
      </c>
      <c r="Q19" s="2" t="s">
        <v>119</v>
      </c>
      <c r="R19" s="90">
        <v>6253428820434.25</v>
      </c>
      <c r="S19" s="90">
        <f t="shared" si="17"/>
        <v>6.2534288204342495E-2</v>
      </c>
      <c r="T19" s="89">
        <v>475732356328595</v>
      </c>
      <c r="U19" s="89">
        <f>T19*10^-9</f>
        <v>475732.35632859502</v>
      </c>
      <c r="V19" s="90">
        <v>6030822710125.6299</v>
      </c>
      <c r="W19" s="90">
        <f>V19 * 10^-14</f>
        <v>6.0308227101256301E-2</v>
      </c>
    </row>
    <row r="20" spans="3:23" x14ac:dyDescent="0.3">
      <c r="C20" s="2" t="s">
        <v>121</v>
      </c>
      <c r="D20" s="83">
        <v>4447128152312.2197</v>
      </c>
      <c r="E20" s="83">
        <f t="shared" si="13"/>
        <v>4.44712815231222E-2</v>
      </c>
      <c r="F20" s="82">
        <v>550557633018524</v>
      </c>
      <c r="G20" s="82">
        <f t="shared" si="14"/>
        <v>550557.63301852404</v>
      </c>
      <c r="H20" s="83">
        <v>4189509574226</v>
      </c>
      <c r="I20" s="83">
        <f>H20 * 10^-14</f>
        <v>4.1895095742259997E-2</v>
      </c>
      <c r="J20" s="2" t="s">
        <v>121</v>
      </c>
      <c r="K20" s="86">
        <v>4736389854998.1602</v>
      </c>
      <c r="L20" s="86">
        <f t="shared" si="15"/>
        <v>4.7363898549981603E-2</v>
      </c>
      <c r="M20" s="85">
        <v>528324347636782</v>
      </c>
      <c r="N20" s="84">
        <f t="shared" si="16"/>
        <v>528324.34763678198</v>
      </c>
      <c r="O20" s="86">
        <v>4489174742458</v>
      </c>
      <c r="P20" s="86">
        <f>O20 * 10^-14</f>
        <v>4.4891747424579999E-2</v>
      </c>
      <c r="Q20" s="2" t="s">
        <v>121</v>
      </c>
      <c r="R20" s="90">
        <v>5929960612252.29</v>
      </c>
      <c r="S20" s="90">
        <f t="shared" si="17"/>
        <v>5.9299606122522899E-2</v>
      </c>
      <c r="T20" s="89">
        <v>508387661796674</v>
      </c>
      <c r="U20" s="89">
        <f>T20*10^-9</f>
        <v>508387.66179667402</v>
      </c>
      <c r="V20" s="90">
        <v>5692074333516</v>
      </c>
      <c r="W20" s="90">
        <f>V20 * 10^-14</f>
        <v>5.692074333516E-2</v>
      </c>
    </row>
    <row r="21" spans="3:23" x14ac:dyDescent="0.3">
      <c r="C21" s="2" t="s">
        <v>122</v>
      </c>
      <c r="D21" s="83">
        <v>4404774173088.5996</v>
      </c>
      <c r="E21" s="83">
        <f t="shared" si="13"/>
        <v>4.4047741730885999E-2</v>
      </c>
      <c r="F21" s="82">
        <v>460042784580587</v>
      </c>
      <c r="G21" s="82">
        <f t="shared" si="14"/>
        <v>460042.784580587</v>
      </c>
      <c r="H21" s="83">
        <v>4189509574226</v>
      </c>
      <c r="I21" s="83">
        <f>H21 * 10^-14</f>
        <v>4.1895095742259997E-2</v>
      </c>
      <c r="J21" s="2" t="s">
        <v>122</v>
      </c>
      <c r="K21" s="86">
        <v>4694068608592.6201</v>
      </c>
      <c r="L21" s="86">
        <f t="shared" si="15"/>
        <v>4.6940686085926199E-2</v>
      </c>
      <c r="M21" s="85">
        <v>437879452627599</v>
      </c>
      <c r="N21" s="84">
        <f t="shared" si="16"/>
        <v>437879.45262759901</v>
      </c>
      <c r="O21" s="86">
        <v>4489174742458</v>
      </c>
      <c r="P21" s="86">
        <f>O21 * 10^-14</f>
        <v>4.4891747424579999E-2</v>
      </c>
      <c r="Q21" s="2" t="s">
        <v>122</v>
      </c>
      <c r="R21" s="90">
        <v>5887658902185.3203</v>
      </c>
      <c r="S21" s="90">
        <f t="shared" si="17"/>
        <v>5.88765890218532E-2</v>
      </c>
      <c r="T21" s="89">
        <v>417984517970176</v>
      </c>
      <c r="U21" s="89">
        <f>T21*10^-9</f>
        <v>417984.51797017601</v>
      </c>
      <c r="V21" s="90">
        <v>5692074333516</v>
      </c>
      <c r="W21" s="90">
        <f>V21 * 10^-14</f>
        <v>5.692074333516E-2</v>
      </c>
    </row>
    <row r="22" spans="3:23" x14ac:dyDescent="0.3">
      <c r="C22" s="103"/>
      <c r="D22" s="103"/>
      <c r="E22" s="103"/>
      <c r="F22" s="103"/>
      <c r="G22" s="103"/>
      <c r="H22" s="103"/>
      <c r="I22" s="103"/>
      <c r="U22" s="91"/>
    </row>
    <row r="23" spans="3:23" x14ac:dyDescent="0.3">
      <c r="D23" s="88"/>
      <c r="G23" s="87"/>
      <c r="H23" s="88"/>
      <c r="I23" s="88"/>
    </row>
    <row r="24" spans="3:23" x14ac:dyDescent="0.3">
      <c r="D24" s="88"/>
      <c r="G24" s="87"/>
      <c r="H24" s="88"/>
      <c r="I24" s="88"/>
    </row>
    <row r="25" spans="3:23" x14ac:dyDescent="0.3">
      <c r="D25" s="88"/>
      <c r="G25" s="87"/>
      <c r="H25" s="88"/>
      <c r="I25" s="88"/>
    </row>
    <row r="26" spans="3:23" x14ac:dyDescent="0.3">
      <c r="D26" s="88"/>
      <c r="G26" s="87"/>
      <c r="H26" s="88"/>
      <c r="I26" s="88"/>
    </row>
    <row r="27" spans="3:23" x14ac:dyDescent="0.3">
      <c r="D27" s="88"/>
      <c r="G27" s="87"/>
      <c r="H27" s="88"/>
      <c r="I27" s="88"/>
    </row>
  </sheetData>
  <mergeCells count="10">
    <mergeCell ref="C22:I22"/>
    <mergeCell ref="C16:I16"/>
    <mergeCell ref="C10:I10"/>
    <mergeCell ref="C4:I4"/>
    <mergeCell ref="Q10:W10"/>
    <mergeCell ref="Q16:W16"/>
    <mergeCell ref="J4:P4"/>
    <mergeCell ref="J10:P10"/>
    <mergeCell ref="J16:P16"/>
    <mergeCell ref="Q4:W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 den Haan</dc:creator>
  <cp:lastModifiedBy>Jeanneau Ham</cp:lastModifiedBy>
  <dcterms:created xsi:type="dcterms:W3CDTF">2026-06-15T07:39:30Z</dcterms:created>
  <dcterms:modified xsi:type="dcterms:W3CDTF">2026-06-25T11:46:34Z</dcterms:modified>
</cp:coreProperties>
</file>