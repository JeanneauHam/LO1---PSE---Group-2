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87sLaptop\Downloads\"/>
    </mc:Choice>
  </mc:AlternateContent>
  <xr:revisionPtr revIDLastSave="0" documentId="13_ncr:1_{D30DE6D3-E827-40BF-835A-A18BE9E61295}" xr6:coauthVersionLast="47" xr6:coauthVersionMax="47" xr10:uidLastSave="{00000000-0000-0000-0000-000000000000}"/>
  <bookViews>
    <workbookView xWindow="-108" yWindow="-108" windowWidth="23256" windowHeight="12576" activeTab="2" xr2:uid="{8B7A310D-E37C-42A8-BE3C-2F20DC973AA9}"/>
  </bookViews>
  <sheets>
    <sheet name="Base model for the brewery " sheetId="1" r:id="rId1"/>
    <sheet name="Base case + optimized case" sheetId="2" r:id="rId2"/>
    <sheet name="Few Liter beer per year"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83" i="2" l="1"/>
  <c r="B109" i="2"/>
  <c r="J12" i="3"/>
  <c r="B50" i="2"/>
  <c r="J111" i="2"/>
  <c r="J112" i="2" s="1"/>
  <c r="B107" i="2" s="1"/>
  <c r="B126" i="2" s="1"/>
  <c r="J110" i="2"/>
  <c r="B33" i="2"/>
  <c r="B48" i="2" s="1"/>
  <c r="J81" i="2" l="1"/>
  <c r="J84" i="2" s="1"/>
  <c r="J85" i="2" s="1"/>
  <c r="J5" i="2"/>
  <c r="J8" i="2" s="1"/>
  <c r="J9" i="2" s="1"/>
  <c r="B124" i="2"/>
  <c r="Y81" i="2" s="1"/>
  <c r="E143" i="2"/>
  <c r="E67" i="2"/>
  <c r="E70" i="1"/>
  <c r="B114" i="2"/>
  <c r="B120" i="2" s="1"/>
  <c r="B134" i="2"/>
  <c r="L53" i="2"/>
  <c r="L54" i="2" s="1"/>
  <c r="L52" i="2"/>
  <c r="B32" i="2"/>
  <c r="L48" i="2"/>
  <c r="L47" i="2"/>
  <c r="L46" i="2"/>
  <c r="L50" i="2" s="1"/>
  <c r="L51" i="2" s="1"/>
  <c r="B35" i="3"/>
  <c r="B50" i="3" s="1"/>
  <c r="J5" i="3" s="1"/>
  <c r="J8" i="3" s="1"/>
  <c r="J9" i="3" s="1"/>
  <c r="B124" i="3"/>
  <c r="AA81" i="3" s="1"/>
  <c r="E146" i="3"/>
  <c r="E145" i="3"/>
  <c r="E144" i="3"/>
  <c r="E143" i="3"/>
  <c r="D143" i="3"/>
  <c r="B143" i="3"/>
  <c r="B130" i="3"/>
  <c r="B129" i="3"/>
  <c r="B126" i="3"/>
  <c r="J81" i="3" s="1"/>
  <c r="J84" i="3" s="1"/>
  <c r="J85" i="3" s="1"/>
  <c r="J86" i="3" s="1"/>
  <c r="J87" i="3" s="1"/>
  <c r="B120" i="3"/>
  <c r="B117" i="3"/>
  <c r="B119" i="3" s="1"/>
  <c r="I115" i="3"/>
  <c r="B115" i="3"/>
  <c r="B132" i="3" s="1"/>
  <c r="B146" i="3" s="1"/>
  <c r="B109" i="3"/>
  <c r="B85" i="3"/>
  <c r="B139" i="3" s="1"/>
  <c r="E70" i="3"/>
  <c r="E69" i="3"/>
  <c r="E68" i="3"/>
  <c r="E67" i="3"/>
  <c r="D67" i="3"/>
  <c r="B67" i="3"/>
  <c r="B56" i="3"/>
  <c r="B70" i="3" s="1"/>
  <c r="B54" i="3"/>
  <c r="B53" i="3"/>
  <c r="B41" i="3"/>
  <c r="I39" i="3"/>
  <c r="B33" i="3"/>
  <c r="B32" i="3"/>
  <c r="B12" i="3"/>
  <c r="B63" i="3" s="1"/>
  <c r="E146" i="2"/>
  <c r="E145" i="2"/>
  <c r="E144" i="2"/>
  <c r="D143" i="2"/>
  <c r="B143" i="2"/>
  <c r="B130" i="2"/>
  <c r="B129" i="2"/>
  <c r="B117" i="2"/>
  <c r="B119" i="2" s="1"/>
  <c r="B85" i="2"/>
  <c r="B139" i="2" s="1"/>
  <c r="E70" i="2"/>
  <c r="E69" i="2"/>
  <c r="E68" i="2"/>
  <c r="D67" i="2"/>
  <c r="B67" i="2"/>
  <c r="B54" i="2"/>
  <c r="B53" i="2"/>
  <c r="B41" i="2"/>
  <c r="B43" i="2" s="1"/>
  <c r="B9" i="2"/>
  <c r="B63" i="2" s="1"/>
  <c r="B59" i="1"/>
  <c r="M55" i="1"/>
  <c r="M54" i="1"/>
  <c r="B53" i="1"/>
  <c r="H47" i="1"/>
  <c r="B42" i="1"/>
  <c r="H52" i="1"/>
  <c r="H50" i="1"/>
  <c r="L55" i="2" l="1"/>
  <c r="B122" i="2"/>
  <c r="B39" i="2"/>
  <c r="B56" i="2" s="1"/>
  <c r="B70" i="2" s="1"/>
  <c r="B55" i="2"/>
  <c r="B46" i="2"/>
  <c r="B157" i="2" s="1"/>
  <c r="B44" i="2"/>
  <c r="B115" i="2"/>
  <c r="B132" i="2" s="1"/>
  <c r="B146" i="2" s="1"/>
  <c r="F143" i="2" s="1"/>
  <c r="AB81" i="3"/>
  <c r="K81" i="3"/>
  <c r="M81" i="3"/>
  <c r="AC81" i="3"/>
  <c r="N81" i="3"/>
  <c r="AD81" i="3"/>
  <c r="B48" i="3"/>
  <c r="O81" i="3"/>
  <c r="P81" i="3"/>
  <c r="Q81" i="3"/>
  <c r="R81" i="3"/>
  <c r="S81" i="3"/>
  <c r="T81" i="3"/>
  <c r="U81" i="3"/>
  <c r="Z81" i="3"/>
  <c r="V81" i="3"/>
  <c r="X81" i="3"/>
  <c r="Y81" i="3"/>
  <c r="B131" i="3"/>
  <c r="B133" i="3" s="1"/>
  <c r="K83" i="3" s="1"/>
  <c r="G147" i="3"/>
  <c r="B147" i="3"/>
  <c r="F68" i="3"/>
  <c r="G68" i="3" s="1"/>
  <c r="F143" i="3"/>
  <c r="G143" i="3" s="1"/>
  <c r="F67" i="3"/>
  <c r="G67" i="3" s="1"/>
  <c r="G71" i="3"/>
  <c r="F146" i="3"/>
  <c r="G146" i="3" s="1"/>
  <c r="B71" i="3"/>
  <c r="F69" i="3"/>
  <c r="G69" i="3" s="1"/>
  <c r="F144" i="3"/>
  <c r="G144" i="3" s="1"/>
  <c r="F145" i="3"/>
  <c r="G145" i="3" s="1"/>
  <c r="F70" i="3"/>
  <c r="G70" i="3" s="1"/>
  <c r="B55" i="3"/>
  <c r="B57" i="3"/>
  <c r="J10" i="3"/>
  <c r="J11" i="3" s="1"/>
  <c r="B44" i="3"/>
  <c r="B43" i="3"/>
  <c r="W81" i="3"/>
  <c r="L81" i="3"/>
  <c r="W81" i="2"/>
  <c r="V81" i="2"/>
  <c r="U81" i="2"/>
  <c r="X81" i="2"/>
  <c r="T81" i="2"/>
  <c r="S81" i="2"/>
  <c r="R81" i="2"/>
  <c r="K81" i="2"/>
  <c r="Q81" i="2"/>
  <c r="AD81" i="2"/>
  <c r="AC81" i="2"/>
  <c r="O81" i="2"/>
  <c r="B131" i="2"/>
  <c r="AB81" i="2"/>
  <c r="N81" i="2"/>
  <c r="AA81" i="2"/>
  <c r="M81" i="2"/>
  <c r="Z81" i="2"/>
  <c r="L81" i="2"/>
  <c r="P81" i="2"/>
  <c r="J86" i="2"/>
  <c r="J87" i="2" s="1"/>
  <c r="J10" i="2"/>
  <c r="J11" i="2" s="1"/>
  <c r="F67" i="2" l="1"/>
  <c r="G67" i="2" s="1"/>
  <c r="F70" i="2"/>
  <c r="G70" i="2" s="1"/>
  <c r="B133" i="2"/>
  <c r="Q5" i="3"/>
  <c r="AD5" i="3"/>
  <c r="P5" i="3"/>
  <c r="AC5" i="3"/>
  <c r="O5" i="3"/>
  <c r="AB5" i="3"/>
  <c r="N5" i="3"/>
  <c r="AA5" i="3"/>
  <c r="M5" i="3"/>
  <c r="Z5" i="3"/>
  <c r="L5" i="3"/>
  <c r="Y5" i="3"/>
  <c r="K5" i="3"/>
  <c r="X5" i="3"/>
  <c r="W5" i="3"/>
  <c r="V5" i="3"/>
  <c r="U5" i="3"/>
  <c r="T5" i="3"/>
  <c r="S5" i="3"/>
  <c r="R5" i="3"/>
  <c r="G149" i="3"/>
  <c r="G148" i="3"/>
  <c r="AB83" i="3"/>
  <c r="N83" i="3"/>
  <c r="AD7" i="3"/>
  <c r="P7" i="3"/>
  <c r="AA83" i="3"/>
  <c r="M83" i="3"/>
  <c r="AC7" i="3"/>
  <c r="O7" i="3"/>
  <c r="Z83" i="3"/>
  <c r="L83" i="3"/>
  <c r="AB7" i="3"/>
  <c r="N7" i="3"/>
  <c r="Y83" i="3"/>
  <c r="AA7" i="3"/>
  <c r="M7" i="3"/>
  <c r="X83" i="3"/>
  <c r="Z7" i="3"/>
  <c r="L7" i="3"/>
  <c r="W83" i="3"/>
  <c r="Y7" i="3"/>
  <c r="K7" i="3"/>
  <c r="V83" i="3"/>
  <c r="X7" i="3"/>
  <c r="Q7" i="3"/>
  <c r="AD83" i="3"/>
  <c r="R83" i="3"/>
  <c r="AC83" i="3"/>
  <c r="U83" i="3"/>
  <c r="T83" i="3"/>
  <c r="S83" i="3"/>
  <c r="Q83" i="3"/>
  <c r="P83" i="3"/>
  <c r="W7" i="3"/>
  <c r="O83" i="3"/>
  <c r="V7" i="3"/>
  <c r="U7" i="3"/>
  <c r="R7" i="3"/>
  <c r="T7" i="3"/>
  <c r="S7" i="3"/>
  <c r="G73" i="3"/>
  <c r="G72" i="3"/>
  <c r="F146" i="2"/>
  <c r="G146" i="2" s="1"/>
  <c r="F145" i="2"/>
  <c r="G145" i="2" s="1"/>
  <c r="F144" i="2"/>
  <c r="G144" i="2" s="1"/>
  <c r="G143" i="2"/>
  <c r="G147" i="2"/>
  <c r="B147" i="2"/>
  <c r="B57" i="2"/>
  <c r="G71" i="2"/>
  <c r="B71" i="2"/>
  <c r="F68" i="2"/>
  <c r="G68" i="2" s="1"/>
  <c r="F69" i="2"/>
  <c r="G69" i="2" s="1"/>
  <c r="P83" i="2" l="1"/>
  <c r="AB83" i="2"/>
  <c r="AC83" i="2"/>
  <c r="R83" i="2"/>
  <c r="AD83" i="2"/>
  <c r="X83" i="2"/>
  <c r="Y83" i="2"/>
  <c r="Z83" i="2"/>
  <c r="AA83" i="2"/>
  <c r="Q83" i="2"/>
  <c r="S83" i="2"/>
  <c r="T83" i="2"/>
  <c r="U83" i="2"/>
  <c r="V83" i="2"/>
  <c r="W83" i="2"/>
  <c r="L83" i="2"/>
  <c r="M83" i="2"/>
  <c r="N83" i="2"/>
  <c r="O83" i="2"/>
  <c r="B123" i="3"/>
  <c r="B125" i="3" s="1"/>
  <c r="B47" i="3"/>
  <c r="B49" i="3" s="1"/>
  <c r="AD7" i="2"/>
  <c r="K7" i="2"/>
  <c r="V7" i="2"/>
  <c r="P7" i="2"/>
  <c r="Z7" i="2"/>
  <c r="AA7" i="2"/>
  <c r="AB7" i="2"/>
  <c r="U7" i="2"/>
  <c r="T7" i="2"/>
  <c r="Q7" i="2"/>
  <c r="R7" i="2"/>
  <c r="S7" i="2"/>
  <c r="G149" i="2"/>
  <c r="X7" i="2"/>
  <c r="W7" i="2"/>
  <c r="L7" i="2"/>
  <c r="Y7" i="2"/>
  <c r="G148" i="2"/>
  <c r="B123" i="2" s="1"/>
  <c r="B125" i="2" s="1"/>
  <c r="O7" i="2"/>
  <c r="M7" i="2"/>
  <c r="AC7" i="2"/>
  <c r="N7" i="2"/>
  <c r="G73" i="2"/>
  <c r="G72" i="2"/>
  <c r="B47" i="2" s="1"/>
  <c r="B49" i="2" l="1"/>
  <c r="B51" i="2" s="1"/>
  <c r="K82" i="3"/>
  <c r="K84" i="3" s="1"/>
  <c r="K85" i="3" s="1"/>
  <c r="B51" i="3"/>
  <c r="V6" i="3"/>
  <c r="V8" i="3" s="1"/>
  <c r="V9" i="3" s="1"/>
  <c r="V10" i="3" s="1"/>
  <c r="U6" i="3"/>
  <c r="U8" i="3" s="1"/>
  <c r="U9" i="3" s="1"/>
  <c r="U10" i="3" s="1"/>
  <c r="T6" i="3"/>
  <c r="T8" i="3" s="1"/>
  <c r="T9" i="3" s="1"/>
  <c r="T10" i="3" s="1"/>
  <c r="S6" i="3"/>
  <c r="S8" i="3" s="1"/>
  <c r="S9" i="3" s="1"/>
  <c r="S10" i="3" s="1"/>
  <c r="R6" i="3"/>
  <c r="R8" i="3" s="1"/>
  <c r="R9" i="3" s="1"/>
  <c r="R10" i="3" s="1"/>
  <c r="Q6" i="3"/>
  <c r="Q8" i="3" s="1"/>
  <c r="Q9" i="3" s="1"/>
  <c r="Q10" i="3" s="1"/>
  <c r="AD6" i="3"/>
  <c r="AD8" i="3" s="1"/>
  <c r="AD9" i="3" s="1"/>
  <c r="AD10" i="3" s="1"/>
  <c r="AC6" i="3"/>
  <c r="AC8" i="3" s="1"/>
  <c r="AC9" i="3" s="1"/>
  <c r="AC10" i="3" s="1"/>
  <c r="Y6" i="3"/>
  <c r="Y8" i="3" s="1"/>
  <c r="Y9" i="3" s="1"/>
  <c r="Y10" i="3" s="1"/>
  <c r="X6" i="3"/>
  <c r="X8" i="3" s="1"/>
  <c r="X9" i="3" s="1"/>
  <c r="X10" i="3" s="1"/>
  <c r="AB6" i="3"/>
  <c r="AB8" i="3" s="1"/>
  <c r="AB9" i="3" s="1"/>
  <c r="AB10" i="3" s="1"/>
  <c r="AA6" i="3"/>
  <c r="AA8" i="3" s="1"/>
  <c r="AA9" i="3" s="1"/>
  <c r="AA10" i="3" s="1"/>
  <c r="Z6" i="3"/>
  <c r="Z8" i="3" s="1"/>
  <c r="Z9" i="3" s="1"/>
  <c r="Z10" i="3" s="1"/>
  <c r="W6" i="3"/>
  <c r="W8" i="3" s="1"/>
  <c r="W9" i="3" s="1"/>
  <c r="W10" i="3" s="1"/>
  <c r="P6" i="3"/>
  <c r="P8" i="3" s="1"/>
  <c r="P9" i="3" s="1"/>
  <c r="P10" i="3" s="1"/>
  <c r="O6" i="3"/>
  <c r="O8" i="3" s="1"/>
  <c r="O9" i="3" s="1"/>
  <c r="O10" i="3" s="1"/>
  <c r="N6" i="3"/>
  <c r="N8" i="3" s="1"/>
  <c r="N9" i="3" s="1"/>
  <c r="N10" i="3" s="1"/>
  <c r="M6" i="3"/>
  <c r="M8" i="3" s="1"/>
  <c r="M9" i="3" s="1"/>
  <c r="M10" i="3" s="1"/>
  <c r="L6" i="3"/>
  <c r="L8" i="3" s="1"/>
  <c r="L9" i="3" s="1"/>
  <c r="L10" i="3" s="1"/>
  <c r="K6" i="3"/>
  <c r="K8" i="3" s="1"/>
  <c r="K9" i="3" s="1"/>
  <c r="W6" i="2" l="1"/>
  <c r="O82" i="3"/>
  <c r="O84" i="3" s="1"/>
  <c r="O85" i="3" s="1"/>
  <c r="O86" i="3" s="1"/>
  <c r="AC82" i="3"/>
  <c r="AC84" i="3" s="1"/>
  <c r="AC85" i="3" s="1"/>
  <c r="AC86" i="3" s="1"/>
  <c r="AD82" i="3"/>
  <c r="AD84" i="3" s="1"/>
  <c r="AD85" i="3" s="1"/>
  <c r="AD86" i="3" s="1"/>
  <c r="Q82" i="3"/>
  <c r="Q84" i="3" s="1"/>
  <c r="Q85" i="3" s="1"/>
  <c r="Q86" i="3" s="1"/>
  <c r="X82" i="3"/>
  <c r="X84" i="3" s="1"/>
  <c r="X85" i="3" s="1"/>
  <c r="X86" i="3" s="1"/>
  <c r="R82" i="3"/>
  <c r="R84" i="3" s="1"/>
  <c r="R85" i="3" s="1"/>
  <c r="R86" i="3" s="1"/>
  <c r="Z82" i="3"/>
  <c r="Z84" i="3" s="1"/>
  <c r="Z85" i="3" s="1"/>
  <c r="Z86" i="3" s="1"/>
  <c r="S82" i="3"/>
  <c r="S84" i="3" s="1"/>
  <c r="S85" i="3" s="1"/>
  <c r="S86" i="3" s="1"/>
  <c r="AA82" i="3"/>
  <c r="AA84" i="3" s="1"/>
  <c r="AA85" i="3" s="1"/>
  <c r="AA86" i="3" s="1"/>
  <c r="T82" i="3"/>
  <c r="T84" i="3" s="1"/>
  <c r="T85" i="3" s="1"/>
  <c r="T86" i="3" s="1"/>
  <c r="L82" i="3"/>
  <c r="L84" i="3" s="1"/>
  <c r="L85" i="3" s="1"/>
  <c r="L86" i="3" s="1"/>
  <c r="M82" i="3"/>
  <c r="M84" i="3" s="1"/>
  <c r="M85" i="3" s="1"/>
  <c r="M86" i="3" s="1"/>
  <c r="B127" i="3"/>
  <c r="U82" i="3"/>
  <c r="U84" i="3" s="1"/>
  <c r="U85" i="3" s="1"/>
  <c r="U86" i="3" s="1"/>
  <c r="W82" i="3"/>
  <c r="W84" i="3" s="1"/>
  <c r="W85" i="3" s="1"/>
  <c r="W86" i="3" s="1"/>
  <c r="N82" i="3"/>
  <c r="N84" i="3" s="1"/>
  <c r="N85" i="3" s="1"/>
  <c r="N86" i="3" s="1"/>
  <c r="AB82" i="3"/>
  <c r="AB84" i="3" s="1"/>
  <c r="AB85" i="3" s="1"/>
  <c r="AB86" i="3" s="1"/>
  <c r="V82" i="3"/>
  <c r="V84" i="3" s="1"/>
  <c r="V85" i="3" s="1"/>
  <c r="V86" i="3" s="1"/>
  <c r="Y82" i="3"/>
  <c r="Y84" i="3" s="1"/>
  <c r="Y85" i="3" s="1"/>
  <c r="Y86" i="3" s="1"/>
  <c r="P82" i="3"/>
  <c r="P84" i="3" s="1"/>
  <c r="P85" i="3" s="1"/>
  <c r="P86" i="3" s="1"/>
  <c r="K86" i="3"/>
  <c r="K87" i="3" s="1"/>
  <c r="K10" i="3"/>
  <c r="K11" i="3" s="1"/>
  <c r="L11" i="3" s="1"/>
  <c r="M11" i="3" s="1"/>
  <c r="N11" i="3" s="1"/>
  <c r="O11" i="3" s="1"/>
  <c r="P11" i="3" s="1"/>
  <c r="Q11" i="3" s="1"/>
  <c r="R11" i="3" s="1"/>
  <c r="S11" i="3" s="1"/>
  <c r="T11" i="3" s="1"/>
  <c r="U11" i="3" s="1"/>
  <c r="V11" i="3" s="1"/>
  <c r="W11" i="3" s="1"/>
  <c r="X11" i="3" s="1"/>
  <c r="Y11" i="3" s="1"/>
  <c r="Z11" i="3" s="1"/>
  <c r="AA11" i="3" s="1"/>
  <c r="AB11" i="3" s="1"/>
  <c r="AC11" i="3" s="1"/>
  <c r="AD11" i="3" s="1"/>
  <c r="J13" i="3"/>
  <c r="U6" i="2"/>
  <c r="L82" i="2"/>
  <c r="L84" i="2" s="1"/>
  <c r="L85" i="2" s="1"/>
  <c r="L86" i="2" s="1"/>
  <c r="Z82" i="2"/>
  <c r="Z84" i="2" s="1"/>
  <c r="Z85" i="2" s="1"/>
  <c r="Z86" i="2" s="1"/>
  <c r="M82" i="2"/>
  <c r="M84" i="2" s="1"/>
  <c r="M85" i="2" s="1"/>
  <c r="M86" i="2" s="1"/>
  <c r="AA82" i="2"/>
  <c r="AA84" i="2" s="1"/>
  <c r="AA85" i="2" s="1"/>
  <c r="AA86" i="2" s="1"/>
  <c r="N82" i="2"/>
  <c r="N84" i="2" s="1"/>
  <c r="N85" i="2" s="1"/>
  <c r="N86" i="2" s="1"/>
  <c r="AB82" i="2"/>
  <c r="AB84" i="2" s="1"/>
  <c r="AB85" i="2" s="1"/>
  <c r="AB86" i="2" s="1"/>
  <c r="T82" i="2"/>
  <c r="T84" i="2" s="1"/>
  <c r="T85" i="2" s="1"/>
  <c r="T86" i="2" s="1"/>
  <c r="O82" i="2"/>
  <c r="O84" i="2" s="1"/>
  <c r="O85" i="2" s="1"/>
  <c r="O86" i="2" s="1"/>
  <c r="AC82" i="2"/>
  <c r="AC84" i="2" s="1"/>
  <c r="AC85" i="2" s="1"/>
  <c r="AC86" i="2" s="1"/>
  <c r="P82" i="2"/>
  <c r="P84" i="2" s="1"/>
  <c r="P85" i="2" s="1"/>
  <c r="P86" i="2" s="1"/>
  <c r="AD82" i="2"/>
  <c r="AD84" i="2" s="1"/>
  <c r="AD85" i="2" s="1"/>
  <c r="AD86" i="2" s="1"/>
  <c r="Q82" i="2"/>
  <c r="Q84" i="2" s="1"/>
  <c r="Q85" i="2" s="1"/>
  <c r="Q86" i="2" s="1"/>
  <c r="K82" i="2"/>
  <c r="K84" i="2" s="1"/>
  <c r="K85" i="2" s="1"/>
  <c r="R82" i="2"/>
  <c r="R84" i="2" s="1"/>
  <c r="R85" i="2" s="1"/>
  <c r="R86" i="2" s="1"/>
  <c r="S82" i="2"/>
  <c r="S84" i="2" s="1"/>
  <c r="S85" i="2" s="1"/>
  <c r="S86" i="2" s="1"/>
  <c r="U82" i="2"/>
  <c r="U84" i="2" s="1"/>
  <c r="U85" i="2" s="1"/>
  <c r="U86" i="2" s="1"/>
  <c r="V82" i="2"/>
  <c r="V84" i="2" s="1"/>
  <c r="V85" i="2" s="1"/>
  <c r="V86" i="2" s="1"/>
  <c r="W82" i="2"/>
  <c r="W84" i="2" s="1"/>
  <c r="W85" i="2" s="1"/>
  <c r="W86" i="2" s="1"/>
  <c r="X82" i="2"/>
  <c r="X84" i="2" s="1"/>
  <c r="X85" i="2" s="1"/>
  <c r="X86" i="2" s="1"/>
  <c r="Y82" i="2"/>
  <c r="Y84" i="2" s="1"/>
  <c r="Y85" i="2" s="1"/>
  <c r="Y86" i="2" s="1"/>
  <c r="L6" i="2"/>
  <c r="B127" i="2"/>
  <c r="P6" i="2"/>
  <c r="V6" i="2"/>
  <c r="Z6" i="2"/>
  <c r="AA6" i="2"/>
  <c r="AC6" i="2"/>
  <c r="AD6" i="2"/>
  <c r="X6" i="2"/>
  <c r="K6" i="2"/>
  <c r="Y6" i="2"/>
  <c r="M6" i="2"/>
  <c r="O6" i="2"/>
  <c r="N6" i="2"/>
  <c r="K86" i="2" l="1"/>
  <c r="J88" i="2"/>
  <c r="S6" i="2"/>
  <c r="Q6" i="2"/>
  <c r="AB6" i="2"/>
  <c r="R6" i="2"/>
  <c r="T6" i="2"/>
  <c r="L87" i="3"/>
  <c r="M87" i="3" s="1"/>
  <c r="N87" i="3" s="1"/>
  <c r="O87" i="3" s="1"/>
  <c r="P87" i="3" s="1"/>
  <c r="Q87" i="3" s="1"/>
  <c r="R87" i="3" s="1"/>
  <c r="S87" i="3" s="1"/>
  <c r="T87" i="3" s="1"/>
  <c r="U87" i="3" s="1"/>
  <c r="V87" i="3" s="1"/>
  <c r="W87" i="3" s="1"/>
  <c r="X87" i="3" s="1"/>
  <c r="Y87" i="3" s="1"/>
  <c r="Z87" i="3" s="1"/>
  <c r="AA87" i="3" s="1"/>
  <c r="AB87" i="3" s="1"/>
  <c r="AC87" i="3" s="1"/>
  <c r="AD87" i="3" s="1"/>
  <c r="J89" i="3"/>
  <c r="B154" i="3" s="1"/>
  <c r="J88" i="3"/>
  <c r="K87" i="2"/>
  <c r="B44" i="1"/>
  <c r="J89" i="2" l="1"/>
  <c r="L87" i="2"/>
  <c r="M87" i="2" s="1"/>
  <c r="N87" i="2" s="1"/>
  <c r="O87" i="2" s="1"/>
  <c r="P87" i="2" s="1"/>
  <c r="Q87" i="2" s="1"/>
  <c r="R87" i="2" s="1"/>
  <c r="S87" i="2" s="1"/>
  <c r="T87" i="2" s="1"/>
  <c r="U87" i="2" s="1"/>
  <c r="V87" i="2" s="1"/>
  <c r="W87" i="2" s="1"/>
  <c r="X87" i="2" s="1"/>
  <c r="Y87" i="2" s="1"/>
  <c r="D70" i="1"/>
  <c r="J5" i="1"/>
  <c r="J8" i="1" s="1"/>
  <c r="J9" i="1" s="1"/>
  <c r="B35" i="1"/>
  <c r="B36" i="1"/>
  <c r="B51" i="1" s="1"/>
  <c r="E73" i="1"/>
  <c r="E72" i="1"/>
  <c r="E71" i="1"/>
  <c r="B57" i="1"/>
  <c r="B58" i="1" s="1"/>
  <c r="B56" i="1"/>
  <c r="B12" i="1"/>
  <c r="B66" i="1" s="1"/>
  <c r="B70" i="1"/>
  <c r="AC5" i="1" l="1"/>
  <c r="AD5" i="1"/>
  <c r="B49" i="1"/>
  <c r="M53" i="1"/>
  <c r="B46" i="1"/>
  <c r="B47" i="1"/>
  <c r="Z87" i="2"/>
  <c r="AA87" i="2" s="1"/>
  <c r="AB87" i="2" s="1"/>
  <c r="AC87" i="2" s="1"/>
  <c r="AD87" i="2" s="1"/>
  <c r="B60" i="1"/>
  <c r="B73" i="1"/>
  <c r="F70" i="1" s="1"/>
  <c r="G70" i="1" s="1"/>
  <c r="J10" i="1"/>
  <c r="J11" i="1" s="1"/>
  <c r="K5" i="1"/>
  <c r="L5" i="1"/>
  <c r="M5" i="1"/>
  <c r="N5" i="1"/>
  <c r="O5" i="1"/>
  <c r="P5" i="1"/>
  <c r="Q5" i="1"/>
  <c r="R5" i="1"/>
  <c r="S5" i="1"/>
  <c r="T5" i="1"/>
  <c r="U5" i="1"/>
  <c r="V5" i="1"/>
  <c r="W5" i="1"/>
  <c r="X5" i="1"/>
  <c r="Y5" i="1"/>
  <c r="Z5" i="1"/>
  <c r="AA5" i="1"/>
  <c r="AB5" i="1"/>
  <c r="G74" i="1" l="1"/>
  <c r="AC7" i="1"/>
  <c r="AD7" i="1"/>
  <c r="F71" i="1"/>
  <c r="G71" i="1" s="1"/>
  <c r="F72" i="1"/>
  <c r="G72" i="1" s="1"/>
  <c r="B74" i="1"/>
  <c r="F73" i="1"/>
  <c r="G73" i="1" s="1"/>
  <c r="G75" i="1" l="1"/>
  <c r="B50" i="1" s="1"/>
  <c r="B52" i="1" s="1"/>
  <c r="G76" i="1"/>
  <c r="L7" i="1"/>
  <c r="M7" i="1"/>
  <c r="N7" i="1"/>
  <c r="O7" i="1"/>
  <c r="P7" i="1"/>
  <c r="Q7" i="1"/>
  <c r="R7" i="1"/>
  <c r="S7" i="1"/>
  <c r="T7" i="1"/>
  <c r="U7" i="1"/>
  <c r="V7" i="1"/>
  <c r="W7" i="1"/>
  <c r="X7" i="1"/>
  <c r="Y7" i="1"/>
  <c r="Z7" i="1"/>
  <c r="AA7" i="1"/>
  <c r="AB7" i="1"/>
  <c r="K7" i="1"/>
  <c r="AD6" i="1" l="1"/>
  <c r="AD8" i="1" s="1"/>
  <c r="AD9" i="1" s="1"/>
  <c r="AD10" i="1" s="1"/>
  <c r="AC6" i="1"/>
  <c r="AC8" i="1" s="1"/>
  <c r="AC9" i="1" s="1"/>
  <c r="AC10" i="1" s="1"/>
  <c r="K6" i="1"/>
  <c r="K8" i="1" s="1"/>
  <c r="K9" i="1" s="1"/>
  <c r="L6" i="1"/>
  <c r="L8" i="1" s="1"/>
  <c r="L9" i="1" s="1"/>
  <c r="L10" i="1" s="1"/>
  <c r="M6" i="1"/>
  <c r="M8" i="1" s="1"/>
  <c r="M9" i="1" s="1"/>
  <c r="M10" i="1" s="1"/>
  <c r="N6" i="1"/>
  <c r="N8" i="1" s="1"/>
  <c r="N9" i="1" s="1"/>
  <c r="N10" i="1" s="1"/>
  <c r="O6" i="1"/>
  <c r="O8" i="1" s="1"/>
  <c r="O9" i="1" s="1"/>
  <c r="O10" i="1" s="1"/>
  <c r="P6" i="1"/>
  <c r="P8" i="1" s="1"/>
  <c r="P9" i="1" s="1"/>
  <c r="P10" i="1" s="1"/>
  <c r="Q6" i="1"/>
  <c r="Q8" i="1" s="1"/>
  <c r="Q9" i="1" s="1"/>
  <c r="Q10" i="1" s="1"/>
  <c r="R6" i="1"/>
  <c r="R8" i="1" s="1"/>
  <c r="R9" i="1" s="1"/>
  <c r="R10" i="1" s="1"/>
  <c r="S6" i="1"/>
  <c r="S8" i="1" s="1"/>
  <c r="S9" i="1" s="1"/>
  <c r="S10" i="1" s="1"/>
  <c r="T6" i="1"/>
  <c r="T8" i="1" s="1"/>
  <c r="T9" i="1" s="1"/>
  <c r="T10" i="1" s="1"/>
  <c r="U6" i="1"/>
  <c r="U8" i="1" s="1"/>
  <c r="U9" i="1" s="1"/>
  <c r="U10" i="1" s="1"/>
  <c r="V6" i="1"/>
  <c r="V8" i="1" s="1"/>
  <c r="V9" i="1" s="1"/>
  <c r="V10" i="1" s="1"/>
  <c r="W6" i="1"/>
  <c r="W8" i="1" s="1"/>
  <c r="W9" i="1" s="1"/>
  <c r="W10" i="1" s="1"/>
  <c r="X6" i="1"/>
  <c r="X8" i="1" s="1"/>
  <c r="X9" i="1" s="1"/>
  <c r="X10" i="1" s="1"/>
  <c r="Y6" i="1"/>
  <c r="Y8" i="1" s="1"/>
  <c r="Y9" i="1" s="1"/>
  <c r="Y10" i="1" s="1"/>
  <c r="Z6" i="1"/>
  <c r="Z8" i="1" s="1"/>
  <c r="Z9" i="1" s="1"/>
  <c r="Z10" i="1" s="1"/>
  <c r="AA6" i="1"/>
  <c r="AA8" i="1" s="1"/>
  <c r="AA9" i="1" s="1"/>
  <c r="AA10" i="1" s="1"/>
  <c r="AB6" i="1"/>
  <c r="AB8" i="1" s="1"/>
  <c r="AB9" i="1" s="1"/>
  <c r="AB10" i="1" s="1"/>
  <c r="B54" i="1"/>
  <c r="J12" i="1" l="1"/>
  <c r="K10" i="1"/>
  <c r="K11" i="1" s="1"/>
  <c r="L11" i="1" s="1"/>
  <c r="M11" i="1" s="1"/>
  <c r="N11" i="1" s="1"/>
  <c r="O11" i="1" s="1"/>
  <c r="P11" i="1" s="1"/>
  <c r="Q11" i="1" s="1"/>
  <c r="R11" i="1" s="1"/>
  <c r="S11" i="1" s="1"/>
  <c r="T11" i="1" s="1"/>
  <c r="U11" i="1" s="1"/>
  <c r="V11" i="1" s="1"/>
  <c r="W11" i="1" s="1"/>
  <c r="X11" i="1" s="1"/>
  <c r="Y11" i="1" s="1"/>
  <c r="Z11" i="1" s="1"/>
  <c r="AA11" i="1" s="1"/>
  <c r="AB11" i="1" s="1"/>
  <c r="AC11" i="1" s="1"/>
  <c r="AD11" i="1" s="1"/>
  <c r="J13" i="1"/>
  <c r="N5" i="2"/>
  <c r="N8" i="2" s="1"/>
  <c r="N9" i="2" s="1"/>
  <c r="O5" i="2"/>
  <c r="O8" i="2" s="1"/>
  <c r="O9" i="2" s="1"/>
  <c r="P5" i="2"/>
  <c r="P8" i="2" s="1"/>
  <c r="P9" i="2" s="1"/>
  <c r="Q5" i="2"/>
  <c r="Q8" i="2" s="1"/>
  <c r="Q9" i="2" s="1"/>
  <c r="R5" i="2"/>
  <c r="R8" i="2" s="1"/>
  <c r="R9" i="2" s="1"/>
  <c r="S5" i="2"/>
  <c r="S8" i="2" s="1"/>
  <c r="S9" i="2" s="1"/>
  <c r="T5" i="2"/>
  <c r="T8" i="2" s="1"/>
  <c r="T9" i="2" s="1"/>
  <c r="U5" i="2"/>
  <c r="U8" i="2" s="1"/>
  <c r="U9" i="2" s="1"/>
  <c r="V5" i="2"/>
  <c r="V8" i="2" s="1"/>
  <c r="V9" i="2" s="1"/>
  <c r="W5" i="2"/>
  <c r="W8" i="2" s="1"/>
  <c r="W9" i="2" s="1"/>
  <c r="X5" i="2"/>
  <c r="X8" i="2" s="1"/>
  <c r="X9" i="2" s="1"/>
  <c r="Y5" i="2"/>
  <c r="Y8" i="2" s="1"/>
  <c r="Y9" i="2" s="1"/>
  <c r="Z5" i="2"/>
  <c r="Z8" i="2" s="1"/>
  <c r="Z9" i="2" s="1"/>
  <c r="AA5" i="2"/>
  <c r="AA8" i="2" s="1"/>
  <c r="AA9" i="2" s="1"/>
  <c r="AB5" i="2"/>
  <c r="AB8" i="2" s="1"/>
  <c r="AB9" i="2" s="1"/>
  <c r="AC5" i="2"/>
  <c r="AC8" i="2" s="1"/>
  <c r="AC9" i="2" s="1"/>
  <c r="AD5" i="2"/>
  <c r="AD8" i="2" s="1"/>
  <c r="AD9" i="2" s="1"/>
  <c r="M5" i="2"/>
  <c r="M8" i="2" s="1"/>
  <c r="M9" i="2" s="1"/>
  <c r="L5" i="2"/>
  <c r="L8" i="2" s="1"/>
  <c r="L9" i="2" s="1"/>
  <c r="K5" i="2"/>
  <c r="K8" i="2" s="1"/>
  <c r="K9" i="2" s="1"/>
  <c r="J12" i="2" s="1"/>
  <c r="V10" i="2" l="1"/>
  <c r="M10" i="2"/>
  <c r="AC10" i="2"/>
  <c r="N10" i="2"/>
  <c r="T10" i="2"/>
  <c r="S10" i="2"/>
  <c r="Q10" i="2"/>
  <c r="P10" i="2"/>
  <c r="O10" i="2"/>
  <c r="Z10" i="2"/>
  <c r="Y10" i="2"/>
  <c r="U10" i="2"/>
  <c r="R10" i="2"/>
  <c r="X10" i="2"/>
  <c r="AD10" i="2"/>
  <c r="AB10" i="2"/>
  <c r="AA10" i="2"/>
  <c r="W10" i="2"/>
  <c r="K10" i="2"/>
  <c r="K11" i="2" s="1"/>
  <c r="J13" i="2" l="1"/>
  <c r="B154" i="2" s="1"/>
  <c r="L10" i="2"/>
  <c r="L11" i="2" s="1"/>
  <c r="M11" i="2" s="1"/>
  <c r="N11" i="2" s="1"/>
  <c r="O11" i="2" s="1"/>
  <c r="P11" i="2" s="1"/>
  <c r="Q11" i="2" s="1"/>
  <c r="R11" i="2" l="1"/>
  <c r="S11" i="2" s="1"/>
  <c r="T11" i="2" s="1"/>
  <c r="U11" i="2" s="1"/>
  <c r="V11" i="2" s="1"/>
  <c r="W11" i="2" s="1"/>
  <c r="X11" i="2" s="1"/>
  <c r="Y11" i="2" s="1"/>
  <c r="Z11" i="2" s="1"/>
  <c r="AA11" i="2" s="1"/>
  <c r="AB11" i="2" s="1"/>
  <c r="AC11" i="2" s="1"/>
  <c r="AD1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tc={E8F1AC40-30C1-4E03-AD3F-31BE29F0ABDE}</author>
    <author>tc={33FFF919-B2F8-40B9-B4CE-4E2063829BBE}</author>
    <author>tc={878F0B17-8749-4147-A857-36A180C7452B}</author>
    <author>tc={67894B4F-9874-4EF2-84E3-B0E048DB8DCC}</author>
    <author>tc={FED97529-EB1C-4E7B-81EE-CAB903EB5B68}</author>
    <author>tc={B9D61578-8572-4495-A4B9-D40ACB3DDF83}</author>
    <author>tc={B38CC4BB-3778-4249-B99E-DC3B2AF5B257}</author>
    <author>tc={3C24F0C0-4F6E-4EC3-8293-77D0FA9B3619}</author>
    <author>tc={97949D54-9F9E-4C38-8554-4419D56891F9}</author>
    <author>tc={2F630EC3-3A2B-47AC-8376-500909395810}</author>
    <author>tc={6D8A348F-7089-438A-B529-8F99FE0088F3}</author>
    <author>tc={67080D98-3884-46B6-AAE5-AAE4BB9EFE8F}</author>
    <author>tc={B5F11C7D-60E8-4CF1-9F95-96A4C52BF502}</author>
    <author>tc={5DFE3220-0BB6-4E27-8230-197876897DF1}</author>
    <author>tc={A5BE7EF2-21DA-4528-9DDD-F87DE743C18B}</author>
    <author>tc={BEBAF9EB-DAC3-4C8B-8C6D-DA88BDA5D9F2}</author>
    <author>tc={7F42268E-2DD6-4FF6-AEAC-592A210EDA8E}</author>
    <author>tc={EB235B99-1B76-42D9-8351-F47CBB309AAF}</author>
  </authors>
  <commentList>
    <comment ref="C18" authorId="0" shapeId="0" xr:uid="{E8F1AC40-30C1-4E03-AD3F-31BE29F0ABDE}">
      <text>
        <t>[Threaded comment]
Your version of Excel allows you to read this threaded comment; however, any edits to it will get removed if the file is opened in a newer version of Excel. Learn more: https://go.microsoft.com/fwlink/?linkid=870924
Comment:
    All the energy prices are an average of each month so these are not exact values. We took the ones of the most recent month: May 2026</t>
      </text>
    </comment>
    <comment ref="C19" authorId="1" shapeId="0" xr:uid="{33FFF919-B2F8-40B9-B4CE-4E2063829BBE}">
      <text>
        <t>[Threaded comment]
Your version of Excel allows you to read this threaded comment; however, any edits to it will get removed if the file is opened in a newer version of Excel. Learn more: https://go.microsoft.com/fwlink/?linkid=870924
Comment:
    We do not know yet if we use the natural gas for our process. Maybe if we need heat exchangers, than we can use natural gas to heat up the process, but maybe not. I have wrote this down just to be sure.</t>
      </text>
    </comment>
    <comment ref="B34" authorId="2" shapeId="0" xr:uid="{878F0B17-8749-4147-A857-36A180C7452B}">
      <text>
        <t>[Threaded comment]
Your version of Excel allows you to read this threaded comment; however, any edits to it will get removed if the file is opened in a newer version of Excel. Learn more: https://go.microsoft.com/fwlink/?linkid=870924
Comment:
    Keep in mind that the price from Ali baba changes daily.</t>
      </text>
    </comment>
    <comment ref="B36" authorId="3" shapeId="0" xr:uid="{67894B4F-9874-4EF2-84E3-B0E048DB8DCC}">
      <text>
        <t>[Threaded comment]
Your version of Excel allows you to read this threaded comment; however, any edits to it will get removed if the file is opened in a newer version of Excel. Learn more: https://go.microsoft.com/fwlink/?linkid=870924
Comment:
    We hire three person to clean for 18 euro’s/ hour. They work for 8 hours once a month. That is how calculated this value.</t>
      </text>
    </comment>
    <comment ref="B37" authorId="4" shapeId="0" xr:uid="{FED97529-EB1C-4E7B-81EE-CAB903EB5B68}">
      <text>
        <t>[Threaded comment]
Your version of Excel allows you to read this threaded comment; however, any edits to it will get removed if the file is opened in a newer version of Excel. Learn more: https://go.microsoft.com/fwlink/?linkid=870924
Comment:
    529 euro divided by 2888 bottles divided by 33 cl = 0,555 Euro/liter</t>
      </text>
    </comment>
    <comment ref="B38" authorId="5" shapeId="0" xr:uid="{B9D61578-8572-4495-A4B9-D40ACB3DDF83}">
      <text>
        <t xml:space="preserve">[Threaded comment]
Your version of Excel allows you to read this threaded comment; however, any edits to it will get removed if the file is opened in a newer version of Excel. Learn more: https://go.microsoft.com/fwlink/?linkid=870924
Comment:
    We found this value on Funda. This is a well-known real estate website. You can also buy houses there. </t>
      </text>
    </comment>
    <comment ref="B39" authorId="6" shapeId="0" xr:uid="{B38CC4BB-3778-4249-B99E-DC3B2AF5B257}">
      <text>
        <t>[Threaded comment]
Your version of Excel allows you to read this threaded comment; however, any edits to it will get removed if the file is opened in a newer version of Excel. Learn more: https://go.microsoft.com/fwlink/?linkid=870924
Comment:
    We thought this was appropiate, because the machines are made stainless steel. Besides that we need to have limit for the investment. If you do not earn enough money with beer in 20 years, the investment is not worth the effort.</t>
      </text>
    </comment>
    <comment ref="B40" authorId="7" shapeId="0" xr:uid="{3C24F0C0-4F6E-4EC3-8293-77D0FA9B3619}">
      <text>
        <t>[Threaded comment]
Your version of Excel allows you to read this threaded comment; however, any edits to it will get removed if the file is opened in a newer version of Excel. Learn more: https://go.microsoft.com/fwlink/?linkid=870924
Comment:
    People buy directly from the brewery, because we are as start-up business.</t>
      </text>
    </comment>
    <comment ref="B42" authorId="8" shapeId="0" xr:uid="{97949D54-9F9E-4C38-8554-4419D56891F9}">
      <text>
        <t>[Threaded comment]
Your version of Excel allows you to read this threaded comment; however, any edits to it will get removed if the file is opened in a newer version of Excel. Learn more: https://go.microsoft.com/fwlink/?linkid=870924
Comment:
    Max amount in a year for this machine</t>
      </text>
    </comment>
    <comment ref="B44" authorId="9" shapeId="0" xr:uid="{2F630EC3-3A2B-47AC-8376-500909395810}">
      <text>
        <t>[Threaded comment]
Your version of Excel allows you to read this threaded comment; however, any edits to it will get removed if the file is opened in a newer version of Excel. Learn more: https://go.microsoft.com/fwlink/?linkid=870924
Comment:
    This is also the emission tax for the upcoming years.</t>
      </text>
    </comment>
    <comment ref="B45" authorId="10" shapeId="0" xr:uid="{6D8A348F-7089-438A-B529-8F99FE0088F3}">
      <text>
        <t>[Threaded comment]
Your version of Excel allows you to read this threaded comment; however, any edits to it will get removed if the file is opened in a newer version of Excel. Learn more: https://go.microsoft.com/fwlink/?linkid=870924
Comment:
    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
      </text>
    </comment>
    <comment ref="B49" authorId="11" shapeId="0" xr:uid="{67080D98-3884-46B6-AAE5-AAE4BB9EFE8F}">
      <text>
        <t>[Threaded comment]
Your version of Excel allows you to read this threaded comment; however, any edits to it will get removed if the file is opened in a newer version of Excel. Learn more: https://go.microsoft.com/fwlink/?linkid=870924
Comment:
    80kW machine, running nonstop and price netherlands energy
Reply:
    Minus the 12 days/year for cleaning the machine. The machine does not work non-stop but over a year we assume a continuous process.</t>
      </text>
    </comment>
    <comment ref="B50" authorId="12" shapeId="0" xr:uid="{B5F11C7D-60E8-4CF1-9F95-96A4C52BF502}">
      <text>
        <t xml:space="preserve">[Threaded comment]
Your version of Excel allows you to read this threaded comment; however, any edits to it will get removed if the file is opened in a newer version of Excel. Learn more: https://go.microsoft.com/fwlink/?linkid=870924
Comment:
    See below </t>
      </text>
    </comment>
    <comment ref="B51" authorId="13" shapeId="0" xr:uid="{5DFE3220-0BB6-4E27-8230-197876897DF1}">
      <text>
        <t>[Threaded comment]
Your version of Excel allows you to read this threaded comment; however, any edits to it will get removed if the file is opened in a newer version of Excel. Learn more: https://go.microsoft.com/fwlink/?linkid=870924
Comment:
    Rent/ year + cleaning cost</t>
      </text>
    </comment>
    <comment ref="B58" authorId="14" shapeId="0" xr:uid="{A5BE7EF2-21DA-4528-9DDD-F87DE743C18B}">
      <text>
        <t>[Threaded comment]
Your version of Excel allows you to read this threaded comment; however, any edits to it will get removed if the file is opened in a newer version of Excel. Learn more: https://go.microsoft.com/fwlink/?linkid=870924
Comment:
    We calculated the price/ Liter by using de net-revenue from Heineken and dividing it by the liters that Heineken sold. We chose Heineken because they upload their reports to the internet, and they are a well-known beer company.</t>
      </text>
    </comment>
    <comment ref="B59" authorId="15" shapeId="0" xr:uid="{BEBAF9EB-DAC3-4C8B-8C6D-DA88BDA5D9F2}">
      <text>
        <t xml:space="preserve">[Threaded comment]
Your version of Excel allows you to read this threaded comment; however, any edits to it will get removed if the file is opened in a newer version of Excel. Learn more: https://go.microsoft.com/fwlink/?linkid=870924
Comment:
    Not all the beer that we produce is sold. We think that we sell 93%, because we do not think that the group of 18-25 years will drink much in the future. </t>
      </text>
    </comment>
    <comment ref="B60" authorId="16" shapeId="0" xr:uid="{7F42268E-2DD6-4FF6-AEAC-592A210EDA8E}">
      <text>
        <t>[Threaded comment]
Your version of Excel allows you to read this threaded comment; however, any edits to it will get removed if the file is opened in a newer version of Excel. Learn more: https://go.microsoft.com/fwlink/?linkid=870924
Comment:
    Liter produced x price/liter of Heineken</t>
      </text>
    </comment>
    <comment ref="B61" authorId="17" shapeId="0" xr:uid="{EB235B99-1B76-42D9-8351-F47CBB309AAF}">
      <text>
        <t xml:space="preserve">[Threaded comment]
Your version of Excel allows you to read this threaded comment; however, any edits to it will get removed if the file is opened in a newer version of Excel. Learn more: https://go.microsoft.com/fwlink/?linkid=870924
Comment:
    0.78 genomen, omdat we medium size zijn. Small-scale zit rond 0.72 en large-scale rond .90 of hoger. 
Reply:
    We took 0.78 because we are medium-sized. Small-scale is around 0.72 and large-scale around 0.90 or higher.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tc={E6AB1E36-B31A-45EA-90E5-48CE664A28EF}</author>
    <author>tc={7181602C-CF67-4B50-B818-A94BC45FE547}</author>
    <author>tc={4A0E1460-8B99-4257-8E25-185384F3576F}</author>
    <author>tc={806ABBE8-6D99-4E7A-AD96-27C60FDE4116}</author>
    <author>tc={FB5D4C36-28C9-4EC1-8DFE-4264246BFF38}</author>
    <author>tc={23778F07-729B-4C77-B50F-D94252E16FA8}</author>
    <author>tc={7A09D710-8B0E-4E50-9D78-7934108BF5A3}</author>
    <author>tc={CC55714C-4357-4F35-8925-53FC195DDB5D}</author>
    <author>tc={9ED2CC6C-7FEF-4372-8C2D-FA89FB1CADA6}</author>
    <author>tc={F27A004F-BBFB-43CF-A897-F347CA937A4B}</author>
    <author>tc={810946DF-2337-4FB1-A147-A968E676F322}</author>
    <author>tc={86F2E6A7-C5FF-4889-9724-6A1540DF6796}</author>
    <author>tc={487D489C-9D0B-4EE9-9C62-B925E109FB64}</author>
    <author>tc={EF5B98BE-F389-407E-9CB6-CB65FE104669}</author>
    <author>tc={E21233CA-1EDC-454A-90FA-4CBF8A7EECEA}</author>
    <author>tc={8872B4B5-7A67-42D3-BF38-5F7B2D9F885B}</author>
    <author>tc={CEC3CB52-B90A-4BBE-8CF9-62BFFCE4F27C}</author>
    <author>tc={B5EB7D6A-41AC-4AED-B8F2-D9C2A8A0E8B2}</author>
    <author>tc={49E74063-6589-4BAA-9E1B-3E0BA281B755}</author>
    <author>tc={9AD951A2-5326-4ECB-B2BB-1F821E0607B0}</author>
    <author>tc={DD484707-E007-4793-AA93-8B689DC88BC6}</author>
    <author>tc={E4C21771-C47F-4440-8824-A1B5FA634942}</author>
    <author>tc={6E655506-C231-4750-961C-BD11905FAE34}</author>
    <author>tc={6EEA580D-9934-44DC-B4B7-75156095DA40}</author>
    <author>tc={0D13EC71-7EFA-43D0-BA54-74AC87C3BA0C}</author>
    <author>tc={B62E2696-00A3-4A4A-8B00-8BCD7ADDD63F}</author>
    <author>tc={3CB9FA37-C9BA-4DF9-B372-7ADA0C87FA53}</author>
    <author>tc={8954B9EC-1D15-4225-B99E-F5FA8D6A677E}</author>
    <author>tc={DC41C337-DC44-40E5-B0D0-E1E4FCB5D03F}</author>
    <author>tc={8F69F133-DBB7-405F-AC2C-C3394BA7A692}</author>
    <author>tc={FFB46685-6141-4558-9B7A-CEA7C45117E4}</author>
    <author>tc={42586222-C10D-4FFB-8ED5-71461A2E6A8E}</author>
    <author>tc={DFAFD8E6-A127-4CC5-AF5D-95110C8BBA07}</author>
    <author>tc={501017A0-2A47-47AE-B4D3-882C507A656C}</author>
    <author>tc={08167440-F136-42FE-B754-6192E8F8DB30}</author>
    <author>tc={A5C75824-7668-4BF3-82C0-C56801295709}</author>
    <author>tc={0E336836-8A8B-40E3-B5E6-343FC80641D7}</author>
    <author>tc={66580D2B-8DA2-4DA1-B5D2-DAD73CB6B780}</author>
    <author>tc={9D304627-678B-4042-99EF-5F030AD8CDAB}</author>
    <author>tc={39B5803F-6C41-45B5-A363-F55A7E62E525}</author>
    <author>tc={54CEAB08-56F9-4EBB-A9E2-08A05C5D779A}</author>
    <author>tc={D3CECF5A-6485-43C7-83C2-60964818FDEF}</author>
    <author>tc={8891175B-280E-4A7B-8BAE-95D978B6C784}</author>
    <author>tc={EA0C305C-C1A5-40F0-B331-CA2336E67A37}</author>
    <author>tc={DCDFF467-106B-4C5A-9DAC-4DA76930B2C2}</author>
    <author>tc={C2D2DE5F-9A40-4A26-975F-83891C6CAEEC}</author>
    <author>tc={19869FB0-A04A-4A1A-8D91-1531EB6AFE31}</author>
    <author>tc={4D100CE7-CF4B-43D1-AF8B-6B914496C428}</author>
    <author>tc={70851DCB-0CFB-46B1-807B-F9244EBF7C07}</author>
    <author>tc={0E2FA394-02F1-454D-8E9E-6DDEFB3E5345}</author>
    <author>tc={F18E7830-0A4B-4E94-9F14-762EC661D704}</author>
  </authors>
  <commentList>
    <comment ref="A15" authorId="0" shapeId="0" xr:uid="{E6AB1E36-B31A-45EA-90E5-48CE664A28EF}">
      <text>
        <t>[Threaded comment]
Your version of Excel allows you to read this threaded comment; however, any edits to it will get removed if the file is opened in a newer version of Excel. Learn more: https://go.microsoft.com/fwlink/?linkid=870924
Comment:
    Doen we hier uberhaupt iets mee of is dit eigenlijk niet echt nodig?</t>
      </text>
    </comment>
    <comment ref="C15" authorId="1" shapeId="0" xr:uid="{7181602C-CF67-4B50-B818-A94BC45FE547}">
      <text>
        <t>[Threaded comment]
Your version of Excel allows you to read this threaded comment; however, any edits to it will get removed if the file is opened in a newer version of Excel. Learn more: https://go.microsoft.com/fwlink/?linkid=870924
Comment:
    All the energy prices are an average of each month so these are not exact values. We took the ones of the most recent month: May 2026</t>
      </text>
    </comment>
    <comment ref="C16" authorId="2" shapeId="0" xr:uid="{4A0E1460-8B99-4257-8E25-185384F3576F}">
      <text>
        <t>[Threaded comment]
Your version of Excel allows you to read this threaded comment; however, any edits to it will get removed if the file is opened in a newer version of Excel. Learn more: https://go.microsoft.com/fwlink/?linkid=870924
Comment:
    We do not know yet if we use the natural gas for our process. Maybe if we need heat exchangers, than we can use natural gas to heat up the process, but maybe not. I have wrote this down just to be sure.</t>
      </text>
    </comment>
    <comment ref="B31" authorId="3" shapeId="0" xr:uid="{806ABBE8-6D99-4E7A-AD96-27C60FDE4116}">
      <text>
        <t>[Threaded comment]
Your version of Excel allows you to read this threaded comment; however, any edits to it will get removed if the file is opened in a newer version of Excel. Learn more: https://go.microsoft.com/fwlink/?linkid=870924
Comment:
    This is an estimation of the capital costs recommended (Maxim Tschulkow, personal communication June 23 2026) We just want to show you that the net present value becomes more positive after applying Heat Exchangers. This is a limitation of our model.</t>
      </text>
    </comment>
    <comment ref="B32" authorId="4" shapeId="0" xr:uid="{FB5D4C36-28C9-4EC1-8DFE-4264246BFF38}">
      <text>
        <t>[Threaded comment]
Your version of Excel allows you to read this threaded comment; however, any edits to it will get removed if the file is opened in a newer version of Excel. Learn more: https://go.microsoft.com/fwlink/?linkid=870924
Comment:
    We made a model in Aspen without exchanger and contains only utilities. That value was about 16.768 kW in Aspen. According to our case we have 16.769,6 kW (sum of all the enthalpy). We rounded some numbers in Aspen and Aspen also round numbers. I think that we could use this model to find the capital cost and cost/year of our brewery.</t>
      </text>
    </comment>
    <comment ref="B33" authorId="5" shapeId="0" xr:uid="{23778F07-729B-4C77-B50F-D94252E16FA8}">
      <text>
        <t>[Threaded comment]
Your version of Excel allows you to read this threaded comment; however, any edits to it will get removed if the file is opened in a newer version of Excel. Learn more: https://go.microsoft.com/fwlink/?linkid=870924
Comment:
    10% of the capital costs are maintenance costs. This was recommended (Maxim Tschulkow, personal communication June 23 2026). This is also a limitation of our model.</t>
      </text>
    </comment>
    <comment ref="B34" authorId="6" shapeId="0" xr:uid="{7A09D710-8B0E-4E50-9D78-7934108BF5A3}">
      <text>
        <t>[Threaded comment]
Your version of Excel allows you to read this threaded comment; however, any edits to it will get removed if the file is opened in a newer version of Excel. Learn more: https://go.microsoft.com/fwlink/?linkid=870924
Comment:
    529 euro divided by 2888 bottles divided by 33 cl = 0,555 Euro/liter</t>
      </text>
    </comment>
    <comment ref="B35" authorId="7" shapeId="0" xr:uid="{CC55714C-4357-4F35-8925-53FC195DDB5D}">
      <text>
        <t>[Threaded comment]
Your version of Excel allows you to read this threaded comment; however, any edits to it will get removed if the file is opened in a newer version of Excel. Learn more: https://go.microsoft.com/fwlink/?linkid=870924
Comment:
    We took this place to build the brewery. We needed a bigger one than the base model.</t>
      </text>
    </comment>
    <comment ref="B36" authorId="8" shapeId="0" xr:uid="{9ED2CC6C-7FEF-4372-8C2D-FA89FB1CADA6}">
      <text>
        <t>[Threaded comment]
Your version of Excel allows you to read this threaded comment; however, any edits to it will get removed if the file is opened in a newer version of Excel. Learn more: https://go.microsoft.com/fwlink/?linkid=870924
Comment:
    We thought this was appropiate, because the machines are made stainless steel. Besides that we need to have limit for the investment. If you do not earn enough money with beer in 20 years, the investment is not worth the effort.</t>
      </text>
    </comment>
    <comment ref="B37" authorId="9" shapeId="0" xr:uid="{F27A004F-BBFB-43CF-A897-F347CA937A4B}">
      <text>
        <t>[Threaded comment]
Your version of Excel allows you to read this threaded comment; however, any edits to it will get removed if the file is opened in a newer version of Excel. Learn more: https://go.microsoft.com/fwlink/?linkid=870924
Comment:
    People buy directly from the brewery, because we are as start-up business.</t>
      </text>
    </comment>
    <comment ref="B41" authorId="10" shapeId="0" xr:uid="{810946DF-2337-4FB1-A147-A968E676F322}">
      <text>
        <t>[Threaded comment]
Your version of Excel allows you to read this threaded comment; however, any edits to it will get removed if the file is opened in a newer version of Excel. Learn more: https://go.microsoft.com/fwlink/?linkid=870924
Comment:
    This is also the emission tax for the upcoming years.</t>
      </text>
    </comment>
    <comment ref="B42" authorId="11" shapeId="0" xr:uid="{86F2E6A7-C5FF-4889-9724-6A1540DF6796}">
      <text>
        <t>[Threaded comment]
Your version of Excel allows you to read this threaded comment; however, any edits to it will get removed if the file is opened in a newer version of Excel. Learn more: https://go.microsoft.com/fwlink/?linkid=870924
Comment:
    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
      </text>
    </comment>
    <comment ref="B46" authorId="12" shapeId="0" xr:uid="{487D489C-9D0B-4EE9-9C62-B925E109FB64}">
      <text>
        <t>[Threaded comment]
Your version of Excel allows you to read this threaded comment; however, any edits to it will get removed if the file is opened in a newer version of Excel. Learn more: https://go.microsoft.com/fwlink/?linkid=870924
Comment:
    Amount of power x amount of hours x (energy price + tax) + transport rate + contract costs + refund</t>
      </text>
    </comment>
    <comment ref="B47" authorId="13" shapeId="0" xr:uid="{EF5B98BE-F389-407E-9CB6-CB65FE104669}">
      <text>
        <t xml:space="preserve">[Threaded comment]
Your version of Excel allows you to read this threaded comment; however, any edits to it will get removed if the file is opened in a newer version of Excel. Learn more: https://go.microsoft.com/fwlink/?linkid=870924
Comment:
    See below </t>
      </text>
    </comment>
    <comment ref="B48" authorId="14" shapeId="0" xr:uid="{E21233CA-1EDC-454A-90FA-4CBF8A7EECEA}">
      <text>
        <t>[Threaded comment]
Your version of Excel allows you to read this threaded comment; however, any edits to it will get removed if the file is opened in a newer version of Excel. Learn more: https://go.microsoft.com/fwlink/?linkid=870924
Comment:
    Rent/ year + maintenance + watersupply</t>
      </text>
    </comment>
    <comment ref="B49" authorId="15" shapeId="0" xr:uid="{8872B4B5-7A67-42D3-BF38-5F7B2D9F885B}">
      <text>
        <t>[Threaded comment]
Your version of Excel allows you to read this threaded comment; however, any edits to it will get removed if the file is opened in a newer version of Excel. Learn more: https://go.microsoft.com/fwlink/?linkid=870924
Comment:
    CO2 cost + OPEX + total cost ingredients.</t>
      </text>
    </comment>
    <comment ref="L50" authorId="16" shapeId="0" xr:uid="{CEC3CB52-B90A-4BBE-8CF9-62BFFCE4F27C}">
      <text>
        <t>[Threaded comment]
Your version of Excel allows you to read this threaded comment; however, any edits to it will get removed if the file is opened in a newer version of Excel. Learn more: https://go.microsoft.com/fwlink/?linkid=870924
Comment:
    This value is calculated using the formula of enthalpy with Cp*m*deltaT. You can see this formula next to the cell. We took 95% water and 5% ethanol(alcohol) and neglected the other ingredients because their fraction in the mixture is below 1%.</t>
      </text>
    </comment>
    <comment ref="L51" authorId="17" shapeId="0" xr:uid="{B5EB7D6A-41AC-4AED-B8F2-D9C2A8A0E8B2}">
      <text>
        <t>[Threaded comment]
Your version of Excel allows you to read this threaded comment; however, any edits to it will get removed if the file is opened in a newer version of Excel. Learn more: https://go.microsoft.com/fwlink/?linkid=870924
Comment:
    Mass flow rate converted to kg/year.</t>
      </text>
    </comment>
    <comment ref="B53" authorId="18" shapeId="0" xr:uid="{49E74063-6589-4BAA-9E1B-3E0BA281B755}">
      <text>
        <t>[Threaded comment]
Your version of Excel allows you to read this threaded comment; however, any edits to it will get removed if the file is opened in a newer version of Excel. Learn more: https://go.microsoft.com/fwlink/?linkid=870924
Comment:
    Amount of Liters sold of Heineken in 2025.</t>
      </text>
    </comment>
    <comment ref="B54" authorId="19" shapeId="0" xr:uid="{9AD951A2-5326-4ECB-B2BB-1F821E0607B0}">
      <text>
        <t>[Threaded comment]
Your version of Excel allows you to read this threaded comment; however, any edits to it will get removed if the file is opened in a newer version of Excel. Learn more: https://go.microsoft.com/fwlink/?linkid=870924
Comment:
    The net-revenue that was sold by Heineken.</t>
      </text>
    </comment>
    <comment ref="L54" authorId="20" shapeId="0" xr:uid="{DD484707-E007-4793-AA93-8B689DC88BC6}">
      <text>
        <t>[Threaded comment]
Your version of Excel allows you to read this threaded comment; however, any edits to it will get removed if the file is opened in a newer version of Excel. Learn more: https://go.microsoft.com/fwlink/?linkid=870924
Comment:
    Average density determined the same way as the average Cp.</t>
      </text>
    </comment>
    <comment ref="B55" authorId="21" shapeId="0" xr:uid="{E4C21771-C47F-4440-8824-A1B5FA634942}">
      <text>
        <t>[Threaded comment]
Your version of Excel allows you to read this threaded comment; however, any edits to it will get removed if the file is opened in a newer version of Excel. Learn more: https://go.microsoft.com/fwlink/?linkid=870924
Comment:
    We calculated the price/ Liter by using de net-revenue from Heineken and dividing it by the liters that Heineken sold. We chose Heineken because they upload their reports to the internet, and they are a well-known beer company.</t>
      </text>
    </comment>
    <comment ref="L55" authorId="22" shapeId="0" xr:uid="{6E655506-C231-4750-961C-BD11905FAE34}">
      <text>
        <t>[Threaded comment]
Your version of Excel allows you to read this threaded comment; however, any edits to it will get removed if the file is opened in a newer version of Excel. Learn more: https://go.microsoft.com/fwlink/?linkid=870924
Comment:
    Mass flow rate divided by the density of the final mixture.</t>
      </text>
    </comment>
    <comment ref="B56" authorId="23" shapeId="0" xr:uid="{6EEA580D-9934-44DC-B4B7-75156095DA40}">
      <text>
        <t>[Threaded comment]
Your version of Excel allows you to read this threaded comment; however, any edits to it will get removed if the file is opened in a newer version of Excel. Learn more: https://go.microsoft.com/fwlink/?linkid=870924
Comment:
    Utilization factor applied for our brewery.</t>
      </text>
    </comment>
    <comment ref="B57" authorId="24" shapeId="0" xr:uid="{0D13EC71-7EFA-43D0-BA54-74AC87C3BA0C}">
      <text>
        <t>[Threaded comment]
Your version of Excel allows you to read this threaded comment; however, any edits to it will get removed if the file is opened in a newer version of Excel. Learn more: https://go.microsoft.com/fwlink/?linkid=870924
Comment:
    Liter produced x price/liter of Heineken</t>
      </text>
    </comment>
    <comment ref="B58" authorId="25" shapeId="0" xr:uid="{B62E2696-00A3-4A4A-8B00-8BCD7ADDD63F}">
      <text>
        <t>[Threaded comment]
Your version of Excel allows you to read this threaded comment; however, any edits to it will get removed if the file is opened in a newer version of Excel. Learn more: https://go.microsoft.com/fwlink/?linkid=870924
Comment:
    Large-scale breweries run at 92-100% efficiency
Reply:
    Our Brewery has maybe a lower factor, because it is a startup. That is why we chose 0,90.</t>
      </text>
    </comment>
    <comment ref="B60" authorId="26" shapeId="0" xr:uid="{3CB9FA37-C9BA-4DF9-B372-7ADA0C87FA53}">
      <text>
        <t xml:space="preserve">[Threaded comment]
Your version of Excel allows you to read this threaded comment; however, any edits to it will get removed if the file is opened in a newer version of Excel. Learn more: https://go.microsoft.com/fwlink/?linkid=870924
Comment:
    You need to add 38.000 euro if you have a profit above 200.000 euro. You need to be pay this besides the 26% corporate income tax. </t>
      </text>
    </comment>
    <comment ref="I65" authorId="27" shapeId="0" xr:uid="{8954B9EC-1D15-4225-B99E-F5FA8D6A677E}">
      <text>
        <t>[Threaded comment]
Your version of Excel allows you to read this threaded comment; however, any edits to it will get removed if the file is opened in a newer version of Excel. Learn more: https://go.microsoft.com/fwlink/?linkid=870924
Comment:
    Puur voor de verhoudingen, we gebruiken onze eigen hop en eigen prijs hiervoor maar de verhoudingen zouden ongeveer hetzelfde moeten zijn.</t>
      </text>
    </comment>
    <comment ref="A91" authorId="28" shapeId="0" xr:uid="{DC41C337-DC44-40E5-B0D0-E1E4FCB5D03F}">
      <text>
        <t>[Threaded comment]
Your version of Excel allows you to read this threaded comment; however, any edits to it will get removed if the file is opened in a newer version of Excel. Learn more: https://go.microsoft.com/fwlink/?linkid=870924
Comment:
    Doen we hier uberhaupt iets mee of is dit eigenlijk niet echt nodig?</t>
      </text>
    </comment>
    <comment ref="C91" authorId="29" shapeId="0" xr:uid="{8F69F133-DBB7-405F-AC2C-C3394BA7A692}">
      <text>
        <t>[Threaded comment]
Your version of Excel allows you to read this threaded comment; however, any edits to it will get removed if the file is opened in a newer version of Excel. Learn more: https://go.microsoft.com/fwlink/?linkid=870924
Comment:
    All the energy prices are an average of each month so these are not exact values. We took the ones of the most recent month: May 2026</t>
      </text>
    </comment>
    <comment ref="C92" authorId="30" shapeId="0" xr:uid="{FFB46685-6141-4558-9B7A-CEA7C45117E4}">
      <text>
        <t>[Threaded comment]
Your version of Excel allows you to read this threaded comment; however, any edits to it will get removed if the file is opened in a newer version of Excel. Learn more: https://go.microsoft.com/fwlink/?linkid=870924
Comment:
    We do not know yet if we use the natural gas for our process. Maybe if we need heat exchangers, than we can use natural gas to heat up the process, but maybe not. I have wrote this down just to be sure.</t>
      </text>
    </comment>
    <comment ref="B107" authorId="31" shapeId="0" xr:uid="{42586222-C10D-4FFB-8ED5-71461A2E6A8E}">
      <text>
        <t>[Threaded comment]
Your version of Excel allows you to read this threaded comment; however, any edits to it will get removed if the file is opened in a newer version of Excel. Learn more: https://go.microsoft.com/fwlink/?linkid=870924
Comment:
    This is an estimation of the capital costs. This is the same as the capital costs of the base case, but now with the extra costs of applying a Heat Exchanger.</t>
      </text>
    </comment>
    <comment ref="B108" authorId="32" shapeId="0" xr:uid="{DFAFD8E6-A127-4CC5-AF5D-95110C8BBA07}">
      <text>
        <t>[Threaded comment]
Your version of Excel allows you to read this threaded comment; however, any edits to it will get removed if the file is opened in a newer version of Excel. Learn more: https://go.microsoft.com/fwlink/?linkid=870924
Comment:
    This is the energy for the hot and cold utilities combined. We took this from the most optimal design from Aspen Energy analyzer. This is now lower, because there is more heat exchanged.</t>
      </text>
    </comment>
    <comment ref="B109" authorId="33" shapeId="0" xr:uid="{501017A0-2A47-47AE-B4D3-882C507A656C}">
      <text>
        <t>[Threaded comment]
Your version of Excel allows you to read this threaded comment; however, any edits to it will get removed if the file is opened in a newer version of Excel. Learn more: https://go.microsoft.com/fwlink/?linkid=870924
Comment:
    10% of the capital costs are maintenance costs. This was recommended (Maxim Tschulkow, personal communication June 23 2026). This is also a limitation of our model.</t>
      </text>
    </comment>
    <comment ref="J109" authorId="34" shapeId="0" xr:uid="{08167440-F136-42FE-B754-6192E8F8DB30}">
      <text>
        <t>[Threaded comment]
Your version of Excel allows you to read this threaded comment; however, any edits to it will get removed if the file is opened in a newer version of Excel. Learn more: https://go.microsoft.com/fwlink/?linkid=870924
Comment:
    Aspen calculates with a different CAPEX. They only take the price of the heaters and the coolers and not of the whole process. So the difference between those capexes was the extra costs of heat Exchangers.</t>
      </text>
    </comment>
    <comment ref="B110" authorId="35" shapeId="0" xr:uid="{A5C75824-7668-4BF3-82C0-C56801295709}">
      <text>
        <t>[Threaded comment]
Your version of Excel allows you to read this threaded comment; however, any edits to it will get removed if the file is opened in a newer version of Excel. Learn more: https://go.microsoft.com/fwlink/?linkid=870924
Comment:
    529 euro divided by 2888 bottles divided by 33 cl = 0,555 Euro/liter</t>
      </text>
    </comment>
    <comment ref="B111" authorId="36" shapeId="0" xr:uid="{0E336836-8A8B-40E3-B5E6-343FC80641D7}">
      <text>
        <t>[Threaded comment]
Your version of Excel allows you to read this threaded comment; however, any edits to it will get removed if the file is opened in a newer version of Excel. Learn more: https://go.microsoft.com/fwlink/?linkid=870924
Comment:
    We took this place to build the brewery. We needed a bigger one than the base model.</t>
      </text>
    </comment>
    <comment ref="B112" authorId="37" shapeId="0" xr:uid="{66580D2B-8DA2-4DA1-B5D2-DAD73CB6B780}">
      <text>
        <t>[Threaded comment]
Your version of Excel allows you to read this threaded comment; however, any edits to it will get removed if the file is opened in a newer version of Excel. Learn more: https://go.microsoft.com/fwlink/?linkid=870924
Comment:
    We thought this was appropiate, because the machines are made stainless steel. Besides that we need to have limit for the investment. If you do not earn enough money with beer in 20 years, the investment is not worth the effort.</t>
      </text>
    </comment>
    <comment ref="B113" authorId="38" shapeId="0" xr:uid="{9D304627-678B-4042-99EF-5F030AD8CDAB}">
      <text>
        <t>[Threaded comment]
Your version of Excel allows you to read this threaded comment; however, any edits to it will get removed if the file is opened in a newer version of Excel. Learn more: https://go.microsoft.com/fwlink/?linkid=870924
Comment:
    People directly from the brewery, because we are as start-up business.</t>
      </text>
    </comment>
    <comment ref="B115" authorId="39" shapeId="0" xr:uid="{39B5803F-6C41-45B5-A363-F55A7E62E525}">
      <text>
        <t>[Threaded comment]
Your version of Excel allows you to read this threaded comment; however, any edits to it will get removed if the file is opened in a newer version of Excel. Learn more: https://go.microsoft.com/fwlink/?linkid=870924
Comment:
    We took the same annual production, because the purpose is to see how the brewery would perform with less energy use for the same annual production.</t>
      </text>
    </comment>
    <comment ref="B117" authorId="40" shapeId="0" xr:uid="{54CEAB08-56F9-4EBB-A9E2-08A05C5D779A}">
      <text>
        <t>[Threaded comment]
Your version of Excel allows you to read this threaded comment; however, any edits to it will get removed if the file is opened in a newer version of Excel. Learn more: https://go.microsoft.com/fwlink/?linkid=870924
Comment:
    This is also the emission tax for the upcoming years.</t>
      </text>
    </comment>
    <comment ref="B118" authorId="41" shapeId="0" xr:uid="{D3CECF5A-6485-43C7-83C2-60964818FDEF}">
      <text>
        <t>[Threaded comment]
Your version of Excel allows you to read this threaded comment; however, any edits to it will get removed if the file is opened in a newer version of Excel. Learn more: https://go.microsoft.com/fwlink/?linkid=870924
Comment:
    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
      </text>
    </comment>
    <comment ref="B119" authorId="42" shapeId="0" xr:uid="{8891175B-280E-4A7B-8BAE-95D978B6C784}">
      <text>
        <t>[Threaded comment]
Your version of Excel allows you to read this threaded comment; however, any edits to it will get removed if the file is opened in a newer version of Excel. Learn more: https://go.microsoft.com/fwlink/?linkid=870924
Comment:
    The costs becomes definetly lower of the CO2 because the brewery uses less energy.</t>
      </text>
    </comment>
    <comment ref="B122" authorId="43" shapeId="0" xr:uid="{EA0C305C-C1A5-40F0-B331-CA2336E67A37}">
      <text>
        <t>[Threaded comment]
Your version of Excel allows you to read this threaded comment; however, any edits to it will get removed if the file is opened in a newer version of Excel. Learn more: https://go.microsoft.com/fwlink/?linkid=870924
Comment:
    Amount of power x amount of hours x (energy price + tax) + transport rate + contract costs + refund</t>
      </text>
    </comment>
    <comment ref="B123" authorId="44" shapeId="0" xr:uid="{DCDFF467-106B-4C5A-9DAC-4DA76930B2C2}">
      <text>
        <t xml:space="preserve">[Threaded comment]
Your version of Excel allows you to read this threaded comment; however, any edits to it will get removed if the file is opened in a newer version of Excel. Learn more: https://go.microsoft.com/fwlink/?linkid=870924
Comment:
    See below </t>
      </text>
    </comment>
    <comment ref="B131" authorId="45" shapeId="0" xr:uid="{C2D2DE5F-9A40-4A26-975F-83891C6CAEEC}">
      <text>
        <t>[Threaded comment]
Your version of Excel allows you to read this threaded comment; however, any edits to it will get removed if the file is opened in a newer version of Excel. Learn more: https://go.microsoft.com/fwlink/?linkid=870924
Comment:
    We calculated the price/ Liter by using de net-revenue from Heineken and dividing it by the liters that Heineken sold. We chose Heineken because they upload their reports to the internet, and they are a well-known beer company.</t>
      </text>
    </comment>
    <comment ref="B132" authorId="46" shapeId="0" xr:uid="{19869FB0-A04A-4A1A-8D91-1531EB6AFE31}">
      <text>
        <t>[Threaded comment]
Your version of Excel allows you to read this threaded comment; however, any edits to it will get removed if the file is opened in a newer version of Excel. Learn more: https://go.microsoft.com/fwlink/?linkid=870924
Comment:
    Utilization factor applied for our brewery.</t>
      </text>
    </comment>
    <comment ref="B133" authorId="47" shapeId="0" xr:uid="{4D100CE7-CF4B-43D1-AF8B-6B914496C428}">
      <text>
        <t>[Threaded comment]
Your version of Excel allows you to read this threaded comment; however, any edits to it will get removed if the file is opened in a newer version of Excel. Learn more: https://go.microsoft.com/fwlink/?linkid=870924
Comment:
    Liter produced x price/liter of Heineken</t>
      </text>
    </comment>
    <comment ref="B134" authorId="48" shapeId="0" xr:uid="{70851DCB-0CFB-46B1-807B-F9244EBF7C07}">
      <text>
        <t>[Threaded comment]
Your version of Excel allows you to read this threaded comment; however, any edits to it will get removed if the file is opened in a newer version of Excel. Learn more: https://go.microsoft.com/fwlink/?linkid=870924
Comment:
    Large-scale breweries run at 92-100% efficiency. Our Brewery has maybe a lower factor, because it is a startup. That is why we chose 0,90.</t>
      </text>
    </comment>
    <comment ref="B136" authorId="49" shapeId="0" xr:uid="{0E2FA394-02F1-454D-8E9E-6DDEFB3E5345}">
      <text>
        <t xml:space="preserve">[Threaded comment]
Your version of Excel allows you to read this threaded comment; however, any edits to it will get removed if the file is opened in a newer version of Excel. Learn more: https://go.microsoft.com/fwlink/?linkid=870924
Comment:
    You need to add 38.000 euro if you have a profit above 200.000 euro. You need to be pay this besides the 26% corporate income tax. </t>
      </text>
    </comment>
    <comment ref="B154" authorId="50" shapeId="0" xr:uid="{F18E7830-0A4B-4E94-9F14-762EC661D704}">
      <text>
        <t>[Threaded comment]
Your version of Excel allows you to read this threaded comment; however, any edits to it will get removed if the file is opened in a newer version of Excel. Learn more: https://go.microsoft.com/fwlink/?linkid=870924
Comment:
    This is for corporate incomes above 200.000 euros. If it is below the tax changes, but if you calculate it with two examples of that than you also would get the same differences like this model.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tc={5A0D9170-1C28-459B-90EE-BE4B01DF94C7}</author>
    <author>tc={0A52A130-3C2F-4186-921D-C231420DAD61}</author>
    <author>tc={851BD5D8-B1E3-4D2A-B1BF-88BB969B413A}</author>
    <author>tc={F43AAE68-977E-4C78-85F5-2CAA7C4B5E47}</author>
    <author>tc={CE77C11E-EED8-4AB9-B1F9-B1671A894D82}</author>
    <author>tc={337BBB4F-10AA-4FA2-B8E2-4EA94459AB53}</author>
    <author>tc={8964895A-4D9E-430E-8DC8-F9149A84FA96}</author>
    <author>tc={0909AA31-D585-401B-B114-1CF8890E1583}</author>
    <author>tc={081236E6-CCE8-48B2-A578-126E8F002E87}</author>
    <author>tc={B3F36A9D-1D75-466C-862A-24CB35D552BA}</author>
    <author>tc={D4599F00-4600-4CC6-BB78-B0AA1DCEB7B2}</author>
    <author>tc={07199CE5-965E-4B6D-8D5D-D6ADCBC21218}</author>
    <author>tc={D60FC1B1-EAEB-4C1C-B997-40EF71085E5B}</author>
    <author>tc={71A40427-1134-41DC-83F8-6B0F1E042D56}</author>
    <author>tc={9F70F97A-3C5B-45D9-9686-B8292DF5F9F5}</author>
    <author>tc={97A2A7C7-7A92-4FD3-AFF7-607C20F889CE}</author>
    <author>tc={575697CE-D755-485B-AC1D-DC61F7912034}</author>
    <author>tc={6A143668-9B2F-4649-99C7-373CF4C33BBA}</author>
    <author>tc={6D26F19D-0118-4021-8C5A-FDF232B1E7B1}</author>
    <author>tc={7E2D0DD9-0167-4992-8817-20D293DD045C}</author>
    <author>tc={CC71E10E-A7AB-418E-A85F-FFE1B6BDD661}</author>
    <author>tc={BE3FE4DB-B6B2-409F-9835-656238A79A3A}</author>
    <author>tc={E2805DC8-327E-4667-A2B1-6EA13C4864F1}</author>
    <author>tc={E9D762B9-D0EE-4169-B33B-D2961DE65412}</author>
    <author>tc={F57EBE12-4CF1-4B53-BF48-A8498EA75D6A}</author>
    <author>tc={F8AA9865-4D2A-4A49-92AC-1FA31E6C75E3}</author>
    <author>tc={36651374-3D3F-4108-A977-0718A7CD93A3}</author>
    <author>tc={EE6E9D52-E2AF-4BC5-9D7E-706D2287BBC9}</author>
    <author>tc={D9674F4F-6FD7-4654-8029-3E7634CDD6E2}</author>
    <author>tc={BEE271CC-3C01-40AC-8C54-FFBF1AAF5CBC}</author>
    <author>tc={A59DD4FF-22F6-4BC9-B1CE-4D209744863E}</author>
    <author>tc={C89F3158-318D-4769-9BD2-D68A84C6B400}</author>
    <author>tc={206DF150-0117-4EBB-99E5-BBB9A755C8F7}</author>
    <author>tc={7AA37DCD-04E5-4764-ACD1-0B710F9B7721}</author>
    <author>tc={3EB3E60A-D990-4DC7-888A-D1201243DF99}</author>
    <author>tc={65548BD5-4E45-44B6-8EC0-11F541196901}</author>
    <author>tc={B15523CC-850E-4B7F-942D-3E5D8EEB1833}</author>
    <author>tc={0EBC2D00-FF05-45B1-A405-C82B4E498841}</author>
    <author>tc={581F4518-A97B-4D65-8BEB-45EB15629F64}</author>
    <author>tc={175BA66D-F146-4021-86D1-55710B772F4F}</author>
    <author>tc={64C96D82-3B7B-4CE0-B583-4F91F00B4AF3}</author>
  </authors>
  <commentList>
    <comment ref="A15" authorId="0" shapeId="0" xr:uid="{5A0D9170-1C28-459B-90EE-BE4B01DF94C7}">
      <text>
        <t>[Threaded comment]
Your version of Excel allows you to read this threaded comment; however, any edits to it will get removed if the file is opened in a newer version of Excel. Learn more: https://go.microsoft.com/fwlink/?linkid=870924
Comment:
    Doen we hier uberhaupt iets mee of is dit eigenlijk niet echt nodig?</t>
      </text>
    </comment>
    <comment ref="C15" authorId="1" shapeId="0" xr:uid="{0A52A130-3C2F-4186-921D-C231420DAD61}">
      <text>
        <t>[Threaded comment]
Your version of Excel allows you to read this threaded comment; however, any edits to it will get removed if the file is opened in a newer version of Excel. Learn more: https://go.microsoft.com/fwlink/?linkid=870924
Comment:
    All the energy prices are an average of each month so these are not exact values. We took the ones of the most recent month: May 2026</t>
      </text>
    </comment>
    <comment ref="C16" authorId="2" shapeId="0" xr:uid="{851BD5D8-B1E3-4D2A-B1BF-88BB969B413A}">
      <text>
        <t>[Threaded comment]
Your version of Excel allows you to read this threaded comment; however, any edits to it will get removed if the file is opened in a newer version of Excel. Learn more: https://go.microsoft.com/fwlink/?linkid=870924
Comment:
    We do not know yet if we use the natural gas for our process. Maybe if we need heat exchangers, than we can use natural gas to heat up the process, but maybe not. I have wrote this down just to be sure.</t>
      </text>
    </comment>
    <comment ref="B32" authorId="3" shapeId="0" xr:uid="{F43AAE68-977E-4C78-85F5-2CAA7C4B5E47}">
      <text>
        <t>[Threaded comment]
Your version of Excel allows you to read this threaded comment; however, any edits to it will get removed if the file is opened in a newer version of Excel. Learn more: https://go.microsoft.com/fwlink/?linkid=870924
Comment:
    We made a model in Aspen without exchanger and contains only utilities. That value was about 16.768 kW in Aspen. According to our case we have 16.769,6 kW (sum of all the enthalpy). We rounded some numbers in Aspen and Aspen also round numbers. I think that we could use this model to find the capital cost and cost/year of our brewery.</t>
      </text>
    </comment>
    <comment ref="A33" authorId="4" shapeId="0" xr:uid="{CE77C11E-EED8-4AB9-B1F9-B1671A894D82}">
      <text>
        <t>[Threaded comment]
Your version of Excel allows you to read this threaded comment; however, any edits to it will get removed if the file is opened in a newer version of Excel. Learn more: https://go.microsoft.com/fwlink/?linkid=870924
Comment:
    Bedoelen jullie met Cleaner echt like een persoon ingehuurd of die cleaning sets?
Reply:
    Een persoon ingehuurd</t>
      </text>
    </comment>
    <comment ref="B33" authorId="5" shapeId="0" xr:uid="{337BBB4F-10AA-4FA2-B8E2-4EA94459AB53}">
      <text>
        <t>[Threaded comment]
Your version of Excel allows you to read this threaded comment; however, any edits to it will get removed if the file is opened in a newer version of Excel. Learn more: https://go.microsoft.com/fwlink/?linkid=870924
Comment:
    We hire three person to clean for 18 euro’s/ hour. They work for 8 hours once a month. That is how calculated this value.</t>
      </text>
    </comment>
    <comment ref="B34" authorId="6" shapeId="0" xr:uid="{8964895A-4D9E-430E-8DC8-F9149A84FA96}">
      <text>
        <t>[Threaded comment]
Your version of Excel allows you to read this threaded comment; however, any edits to it will get removed if the file is opened in a newer version of Excel. Learn more: https://go.microsoft.com/fwlink/?linkid=870924
Comment:
    529 euro divided by 2888 bottles divided by 33 cl = 0,555 Euro/liter</t>
      </text>
    </comment>
    <comment ref="B35" authorId="7" shapeId="0" xr:uid="{0909AA31-D585-401B-B114-1CF8890E1583}">
      <text>
        <t>[Threaded comment]
Your version of Excel allows you to read this threaded comment; however, any edits to it will get removed if the file is opened in a newer version of Excel. Learn more: https://go.microsoft.com/fwlink/?linkid=870924
Comment:
    We took this place to build the brewery. We needed a bigger one than the base model.</t>
      </text>
    </comment>
    <comment ref="B36" authorId="8" shapeId="0" xr:uid="{081236E6-CCE8-48B2-A578-126E8F002E87}">
      <text>
        <t>[Threaded comment]
Your version of Excel allows you to read this threaded comment; however, any edits to it will get removed if the file is opened in a newer version of Excel. Learn more: https://go.microsoft.com/fwlink/?linkid=870924
Comment:
    We thought this was appropiate, because the machines are made stainless steel. Besides that we need to have limit for the investment. If you do not earn enough money with beer in 20 years, the investment is not worth the effort.</t>
      </text>
    </comment>
    <comment ref="B37" authorId="9" shapeId="0" xr:uid="{B3F36A9D-1D75-466C-862A-24CB35D552BA}">
      <text>
        <t>[Threaded comment]
Your version of Excel allows you to read this threaded comment; however, any edits to it will get removed if the file is opened in a newer version of Excel. Learn more: https://go.microsoft.com/fwlink/?linkid=870924
Comment:
    People directly from the brewery, because we are as start-up business.</t>
      </text>
    </comment>
    <comment ref="I39" authorId="10" shapeId="0" xr:uid="{D4599F00-4600-4CC6-BB78-B0AA1DCEB7B2}">
      <text>
        <t>[Threaded comment]
Your version of Excel allows you to read this threaded comment; however, any edits to it will get removed if the file is opened in a newer version of Excel. Learn more: https://go.microsoft.com/fwlink/?linkid=870924
Comment:
    Max amount in a year for this machine</t>
      </text>
    </comment>
    <comment ref="B41" authorId="11" shapeId="0" xr:uid="{07199CE5-965E-4B6D-8D5D-D6ADCBC21218}">
      <text>
        <t>[Threaded comment]
Your version of Excel allows you to read this threaded comment; however, any edits to it will get removed if the file is opened in a newer version of Excel. Learn more: https://go.microsoft.com/fwlink/?linkid=870924
Comment:
    This is also the emission tax for the upcoming years.</t>
      </text>
    </comment>
    <comment ref="B42" authorId="12" shapeId="0" xr:uid="{D60FC1B1-EAEB-4C1C-B997-40EF71085E5B}">
      <text>
        <t>[Threaded comment]
Your version of Excel allows you to read this threaded comment; however, any edits to it will get removed if the file is opened in a newer version of Excel. Learn more: https://go.microsoft.com/fwlink/?linkid=870924
Comment:
    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
      </text>
    </comment>
    <comment ref="B46" authorId="13" shapeId="0" xr:uid="{71A40427-1134-41DC-83F8-6B0F1E042D56}">
      <text>
        <t>[Threaded comment]
Your version of Excel allows you to read this threaded comment; however, any edits to it will get removed if the file is opened in a newer version of Excel. Learn more: https://go.microsoft.com/fwlink/?linkid=870924
Comment:
    80kW machine, running nonstop and price netherlands energy
Reply:
    Minus the 12 days/year for cleaning the machine. The machine does not work non-stop but over a year we assume a continuous process.</t>
      </text>
    </comment>
    <comment ref="B47" authorId="14" shapeId="0" xr:uid="{9F70F97A-3C5B-45D9-9686-B8292DF5F9F5}">
      <text>
        <t xml:space="preserve">[Threaded comment]
Your version of Excel allows you to read this threaded comment; however, any edits to it will get removed if the file is opened in a newer version of Excel. Learn more: https://go.microsoft.com/fwlink/?linkid=870924
Comment:
    See below </t>
      </text>
    </comment>
    <comment ref="B48" authorId="15" shapeId="0" xr:uid="{97A2A7C7-7A92-4FD3-AFF7-607C20F889CE}">
      <text>
        <t>[Threaded comment]
Your version of Excel allows you to read this threaded comment; however, any edits to it will get removed if the file is opened in a newer version of Excel. Learn more: https://go.microsoft.com/fwlink/?linkid=870924
Comment:
    Rent/ year + cleaning cost</t>
      </text>
    </comment>
    <comment ref="B55" authorId="16" shapeId="0" xr:uid="{575697CE-D755-485B-AC1D-DC61F7912034}">
      <text>
        <t>[Threaded comment]
Your version of Excel allows you to read this threaded comment; however, any edits to it will get removed if the file is opened in a newer version of Excel. Learn more: https://go.microsoft.com/fwlink/?linkid=870924
Comment:
    We calculated the price/ Liter by using de net-revenue from Heineken and dividing it by the liters that Heineken sold. We chose Heineken because they upload their reports to the internet, and they are a well-known beer company.</t>
      </text>
    </comment>
    <comment ref="B56" authorId="17" shapeId="0" xr:uid="{6A143668-9B2F-4649-99C7-373CF4C33BBA}">
      <text>
        <t xml:space="preserve">[Threaded comment]
Your version of Excel allows you to read this threaded comment; however, any edits to it will get removed if the file is opened in a newer version of Excel. Learn more: https://go.microsoft.com/fwlink/?linkid=870924
Comment:
    Not all the beer that we produce is sold. We think that we sell 93%, because we do not think that the group of 18-25 years will drink much in the future. </t>
      </text>
    </comment>
    <comment ref="B57" authorId="18" shapeId="0" xr:uid="{6D26F19D-0118-4021-8C5A-FDF232B1E7B1}">
      <text>
        <t>[Threaded comment]
Your version of Excel allows you to read this threaded comment; however, any edits to it will get removed if the file is opened in a newer version of Excel. Learn more: https://go.microsoft.com/fwlink/?linkid=870924
Comment:
    Liter produced x price/liter of Heineken</t>
      </text>
    </comment>
    <comment ref="B58" authorId="19" shapeId="0" xr:uid="{7E2D0DD9-0167-4992-8817-20D293DD045C}">
      <text>
        <t xml:space="preserve">[Threaded comment]
Your version of Excel allows you to read this threaded comment; however, any edits to it will get removed if the file is opened in a newer version of Excel. Learn more: https://go.microsoft.com/fwlink/?linkid=870924
Comment:
    0.78 genomen, omdat we medium size zijn. Small-scale zit rond 0.72 en large-scale rond .90 of hoger. 
Reply:
    We took 0.78 because we are medium-sized. Small-scale is around 0.72 and large-scale around 0.90 or higher. </t>
      </text>
    </comment>
    <comment ref="A91" authorId="20" shapeId="0" xr:uid="{CC71E10E-A7AB-418E-A85F-FFE1B6BDD661}">
      <text>
        <t>[Threaded comment]
Your version of Excel allows you to read this threaded comment; however, any edits to it will get removed if the file is opened in a newer version of Excel. Learn more: https://go.microsoft.com/fwlink/?linkid=870924
Comment:
    Doen we hier uberhaupt iets mee of is dit eigenlijk niet echt nodig?</t>
      </text>
    </comment>
    <comment ref="C91" authorId="21" shapeId="0" xr:uid="{BE3FE4DB-B6B2-409F-9835-656238A79A3A}">
      <text>
        <t>[Threaded comment]
Your version of Excel allows you to read this threaded comment; however, any edits to it will get removed if the file is opened in a newer version of Excel. Learn more: https://go.microsoft.com/fwlink/?linkid=870924
Comment:
    All the energy prices are an average of each month so these are not exact values. We took the ones of the most recent month: May 2026</t>
      </text>
    </comment>
    <comment ref="C92" authorId="22" shapeId="0" xr:uid="{E2805DC8-327E-4667-A2B1-6EA13C4864F1}">
      <text>
        <t>[Threaded comment]
Your version of Excel allows you to read this threaded comment; however, any edits to it will get removed if the file is opened in a newer version of Excel. Learn more: https://go.microsoft.com/fwlink/?linkid=870924
Comment:
    We do not know yet if we use the natural gas for our process. Maybe if we need heat exchangers, than we can use natural gas to heat up the process, but maybe not. I have wrote this down just to be sure.</t>
      </text>
    </comment>
    <comment ref="B108" authorId="23" shapeId="0" xr:uid="{E9D762B9-D0EE-4169-B33B-D2961DE65412}">
      <text>
        <t>[Threaded comment]
Your version of Excel allows you to read this threaded comment; however, any edits to it will get removed if the file is opened in a newer version of Excel. Learn more: https://go.microsoft.com/fwlink/?linkid=870924
Comment:
    This is the energy for the hot and cold utilities combined. We took this from the most optimal design from Aspen Energy analyzer.</t>
      </text>
    </comment>
    <comment ref="A109" authorId="24" shapeId="0" xr:uid="{F57EBE12-4CF1-4B53-BF48-A8498EA75D6A}">
      <text>
        <t>[Threaded comment]
Your version of Excel allows you to read this threaded comment; however, any edits to it will get removed if the file is opened in a newer version of Excel. Learn more: https://go.microsoft.com/fwlink/?linkid=870924
Comment:
    Bedoelen jullie met Cleaner echt like een persoon ingehuurd of die cleaning sets?
Reply:
    Een persoon ingehuurd</t>
      </text>
    </comment>
    <comment ref="B109" authorId="25" shapeId="0" xr:uid="{F8AA9865-4D2A-4A49-92AC-1FA31E6C75E3}">
      <text>
        <t>[Threaded comment]
Your version of Excel allows you to read this threaded comment; however, any edits to it will get removed if the file is opened in a newer version of Excel. Learn more: https://go.microsoft.com/fwlink/?linkid=870924
Comment:
    We hire three person to clean for 18 euro’s/ hour. They work for 8 hours once a month. That is how calculated this value.</t>
      </text>
    </comment>
    <comment ref="B110" authorId="26" shapeId="0" xr:uid="{36651374-3D3F-4108-A977-0718A7CD93A3}">
      <text>
        <t>[Threaded comment]
Your version of Excel allows you to read this threaded comment; however, any edits to it will get removed if the file is opened in a newer version of Excel. Learn more: https://go.microsoft.com/fwlink/?linkid=870924
Comment:
    529 euro divided by 2888 bottles divided by 33 cl = 0,555 Euro/liter</t>
      </text>
    </comment>
    <comment ref="B111" authorId="27" shapeId="0" xr:uid="{EE6E9D52-E2AF-4BC5-9D7E-706D2287BBC9}">
      <text>
        <t>[Threaded comment]
Your version of Excel allows you to read this threaded comment; however, any edits to it will get removed if the file is opened in a newer version of Excel. Learn more: https://go.microsoft.com/fwlink/?linkid=870924
Comment:
    We took this place to build the brewery. We needed a bigger one than the base model.</t>
      </text>
    </comment>
    <comment ref="B112" authorId="28" shapeId="0" xr:uid="{D9674F4F-6FD7-4654-8029-3E7634CDD6E2}">
      <text>
        <t>[Threaded comment]
Your version of Excel allows you to read this threaded comment; however, any edits to it will get removed if the file is opened in a newer version of Excel. Learn more: https://go.microsoft.com/fwlink/?linkid=870924
Comment:
    We thought this was appropiate, because the machines are made stainless steel. Besides that we need to have limit for the investment. If you do not earn enough money with beer in 20 years, the investment is not worth the effort.</t>
      </text>
    </comment>
    <comment ref="B113" authorId="29" shapeId="0" xr:uid="{BEE271CC-3C01-40AC-8C54-FFBF1AAF5CBC}">
      <text>
        <t>[Threaded comment]
Your version of Excel allows you to read this threaded comment; however, any edits to it will get removed if the file is opened in a newer version of Excel. Learn more: https://go.microsoft.com/fwlink/?linkid=870924
Comment:
    People directly from the brewery, because we are as start-up business.</t>
      </text>
    </comment>
    <comment ref="I115" authorId="30" shapeId="0" xr:uid="{A59DD4FF-22F6-4BC9-B1CE-4D209744863E}">
      <text>
        <t>[Threaded comment]
Your version of Excel allows you to read this threaded comment; however, any edits to it will get removed if the file is opened in a newer version of Excel. Learn more: https://go.microsoft.com/fwlink/?linkid=870924
Comment:
    Max amount in a year for this machine</t>
      </text>
    </comment>
    <comment ref="B117" authorId="31" shapeId="0" xr:uid="{C89F3158-318D-4769-9BD2-D68A84C6B400}">
      <text>
        <t>[Threaded comment]
Your version of Excel allows you to read this threaded comment; however, any edits to it will get removed if the file is opened in a newer version of Excel. Learn more: https://go.microsoft.com/fwlink/?linkid=870924
Comment:
    This is also the emission tax for the upcoming years.</t>
      </text>
    </comment>
    <comment ref="B118" authorId="32" shapeId="0" xr:uid="{206DF150-0117-4EBB-99E5-BBB9A755C8F7}">
      <text>
        <t>[Threaded comment]
Your version of Excel allows you to read this threaded comment; however, any edits to it will get removed if the file is opened in a newer version of Excel. Learn more: https://go.microsoft.com/fwlink/?linkid=870924
Comment:
    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
      </text>
    </comment>
    <comment ref="B119" authorId="33" shapeId="0" xr:uid="{7AA37DCD-04E5-4764-ACD1-0B710F9B7721}">
      <text>
        <t xml:space="preserve">[Threaded comment]
Your version of Excel allows you to read this threaded comment; however, any edits to it will get removed if the file is opened in a newer version of Excel. Learn more: https://go.microsoft.com/fwlink/?linkid=870924
Comment:
    The costs becomes definetly lower of the CO2 because the brewery uses less energy. This has a lot of impact. If you use the same amount of CO2 as the model without heat exchangers. You would earn like 2 million after 20 years instead of 7 million. You can check it if you want.
</t>
      </text>
    </comment>
    <comment ref="B122" authorId="34" shapeId="0" xr:uid="{3EB3E60A-D990-4DC7-888A-D1201243DF99}">
      <text>
        <t>[Threaded comment]
Your version of Excel allows you to read this threaded comment; however, any edits to it will get removed if the file is opened in a newer version of Excel. Learn more: https://go.microsoft.com/fwlink/?linkid=870924
Comment:
    80kW machine, running nonstop and price netherlands energy
Reply:
    Minus the 12 days/year for cleaning the machine. The machine does not work non-stop but over a year we assume a continuous process.</t>
      </text>
    </comment>
    <comment ref="B123" authorId="35" shapeId="0" xr:uid="{65548BD5-4E45-44B6-8EC0-11F541196901}">
      <text>
        <t xml:space="preserve">[Threaded comment]
Your version of Excel allows you to read this threaded comment; however, any edits to it will get removed if the file is opened in a newer version of Excel. Learn more: https://go.microsoft.com/fwlink/?linkid=870924
Comment:
    See below </t>
      </text>
    </comment>
    <comment ref="B131" authorId="36" shapeId="0" xr:uid="{B15523CC-850E-4B7F-942D-3E5D8EEB1833}">
      <text>
        <t>[Threaded comment]
Your version of Excel allows you to read this threaded comment; however, any edits to it will get removed if the file is opened in a newer version of Excel. Learn more: https://go.microsoft.com/fwlink/?linkid=870924
Comment:
    We calculated the price/ Liter by using de net-revenue from Heineken and dividing it by the liters that Heineken sold. We chose Heineken because they upload their reports to the internet, and they are a well-known beer company.</t>
      </text>
    </comment>
    <comment ref="B132" authorId="37" shapeId="0" xr:uid="{0EBC2D00-FF05-45B1-A405-C82B4E498841}">
      <text>
        <t xml:space="preserve">[Threaded comment]
Your version of Excel allows you to read this threaded comment; however, any edits to it will get removed if the file is opened in a newer version of Excel. Learn more: https://go.microsoft.com/fwlink/?linkid=870924
Comment:
    Not all the beer that we produce is sold. We think that we sell 93%, because we do not think that the group of 18-25 years will drink much in the future. </t>
      </text>
    </comment>
    <comment ref="B133" authorId="38" shapeId="0" xr:uid="{581F4518-A97B-4D65-8BEB-45EB15629F64}">
      <text>
        <t>[Threaded comment]
Your version of Excel allows you to read this threaded comment; however, any edits to it will get removed if the file is opened in a newer version of Excel. Learn more: https://go.microsoft.com/fwlink/?linkid=870924
Comment:
    Liter produced x price/liter of Heineken</t>
      </text>
    </comment>
    <comment ref="B134" authorId="39" shapeId="0" xr:uid="{175BA66D-F146-4021-86D1-55710B772F4F}">
      <text>
        <t xml:space="preserve">[Threaded comment]
Your version of Excel allows you to read this threaded comment; however, any edits to it will get removed if the file is opened in a newer version of Excel. Learn more: https://go.microsoft.com/fwlink/?linkid=870924
Comment:
    0.78 genomen, omdat we medium size zijn. Small-scale zit rond 0.72 en large-scale rond .90 of hoger. 
Reply:
    We took 0.78 because we are medium-sized. Small-scale is around 0.72 and large-scale around 0.90 or higher. </t>
      </text>
    </comment>
    <comment ref="B154" authorId="40" shapeId="0" xr:uid="{64C96D82-3B7B-4CE0-B583-4F91F00B4AF3}">
      <text>
        <t>[Threaded comment]
Your version of Excel allows you to read this threaded comment; however, any edits to it will get removed if the file is opened in a newer version of Excel. Learn more: https://go.microsoft.com/fwlink/?linkid=870924
Comment:
    This is for corporate incomes above 200.000 euros. If it is below the tax changes, but if you calculate it with two examples of that than you also would get the same differences like this model.</t>
      </text>
    </comment>
  </commentList>
</comments>
</file>

<file path=xl/sharedStrings.xml><?xml version="1.0" encoding="utf-8"?>
<sst xmlns="http://schemas.openxmlformats.org/spreadsheetml/2006/main" count="940" uniqueCount="204">
  <si>
    <t>Fixed Cost</t>
  </si>
  <si>
    <t>Variable Cost</t>
  </si>
  <si>
    <t>Revenue</t>
  </si>
  <si>
    <t>Operating Income</t>
  </si>
  <si>
    <t>References</t>
  </si>
  <si>
    <t>Net Income</t>
  </si>
  <si>
    <t>inflation rate (may 2026)</t>
  </si>
  <si>
    <t>https://www.cbs.nl/nl-nl/visualisaties/dashboard-economie/inflatie</t>
  </si>
  <si>
    <t>Discounted Cash Flow</t>
  </si>
  <si>
    <t xml:space="preserve">Interest Rabobank </t>
  </si>
  <si>
    <t>https://www.rabobank.nl/bedrijven/zakelijk-financieren/bereken-indicatie</t>
  </si>
  <si>
    <t>Cummulative DCF</t>
  </si>
  <si>
    <t>risk free interest rate(ECB, 2026)</t>
  </si>
  <si>
    <t>Internal Rate of Return</t>
  </si>
  <si>
    <t>Beta power sector(alcoholic beverages)</t>
  </si>
  <si>
    <t>https://pages.stern.nyu.edu/~adamodar/New_Home_Page/datafile/BetasGlobal.html</t>
  </si>
  <si>
    <t>Net Present Value</t>
  </si>
  <si>
    <t>Equity risk premium</t>
  </si>
  <si>
    <t>https://www.bvresources.com/articles/bvwire/kroll-reaffirms-us-erp-at-50-and-lowers-eurozone</t>
  </si>
  <si>
    <t>De point . means factor x 1000  De komma , is a decimal sign</t>
  </si>
  <si>
    <t>Natural gas Transport rate</t>
  </si>
  <si>
    <t>Euro /Year</t>
  </si>
  <si>
    <t>https://www.cbs.nl/en-gb/figures/detail/85592ENG#FixedSupplyRateFixedAndVariable_2</t>
  </si>
  <si>
    <t>Fixed supply rate for fixed and variable contracts</t>
  </si>
  <si>
    <t>Euro/Year</t>
  </si>
  <si>
    <t>https://www.cbs.nl/en-gb/figures/detail/85592ENG#FixedSupplyRateFixedAndVariable_3</t>
  </si>
  <si>
    <t>Variable supply rate contract prices</t>
  </si>
  <si>
    <t>Euro/m3</t>
  </si>
  <si>
    <t>https://www.cbs.nl/en-gb/figures/detail/85592ENG#FixedSupplyRateFixedAndVariable_4</t>
  </si>
  <si>
    <t>Energy tax</t>
  </si>
  <si>
    <t>https://www.cbs.nl/en-gb/figures/detail/85592ENG#FixedSupplyRateFixedAndVariable_5</t>
  </si>
  <si>
    <t>Electricity transport rate</t>
  </si>
  <si>
    <t>https://www.cbs.nl/en-gb/figures/detail/85592ENG#FixedSupplyRateFixedAndVariable_6</t>
  </si>
  <si>
    <t>https://www.cbs.nl/en-gb/figures/detail/85592ENG#FixedSupplyRateFixedAndVariable_7</t>
  </si>
  <si>
    <t>Euro/kWh</t>
  </si>
  <si>
    <t>https://www.cbs.nl/en-gb/figures/detail/85592ENG#FixedSupplyRateFixedAndVariable_8</t>
  </si>
  <si>
    <t>https://www.cbs.nl/en-gb/figures/detail/85592ENG#FixedSupplyRateFixedAndVariable_9</t>
  </si>
  <si>
    <t>Energy tax refund</t>
  </si>
  <si>
    <t>Euro/year</t>
  </si>
  <si>
    <t>https://www.cbs.nl/en-gb/figures/detail/85592ENG#FixedSupplyRateFixedAndVariable_10</t>
  </si>
  <si>
    <t>Water price 2026 excl. 9% BTW</t>
  </si>
  <si>
    <t>https://www.dunea.nl/klantenservice/tarieven</t>
  </si>
  <si>
    <t>24/7 watersupply (2500 L/uur) excl. 9% BTW</t>
  </si>
  <si>
    <t>Basic Install costs</t>
  </si>
  <si>
    <t xml:space="preserve">Euro </t>
  </si>
  <si>
    <t>Tax on Water (belasting op Leidingwater BoL) After 2027 no limit on tax</t>
  </si>
  <si>
    <t>Euro /m3</t>
  </si>
  <si>
    <t>Barley</t>
  </si>
  <si>
    <t>Euro/kg</t>
  </si>
  <si>
    <t>https://www.thehomebrewcompany.co.uk/best-pilsen-malt-25kg-whole-bestmalz-35-ebc-p-3029.html?cPath=69_232_233</t>
  </si>
  <si>
    <t>Hop</t>
  </si>
  <si>
    <t>https://maltmagnus.se/en/en/ingredients/hops/hops-bulk/akoya-pellets-2024/</t>
  </si>
  <si>
    <t>Yeast</t>
  </si>
  <si>
    <t>Euro /11,5 gram</t>
  </si>
  <si>
    <t>https://www.brouwmout.nl/product/fermentis-safbrew-w-3470/</t>
  </si>
  <si>
    <t>Fixed cost machines</t>
  </si>
  <si>
    <t>https://www.alibaba.com/product-detail/10000L-beer-making-machine_62026361346.html</t>
  </si>
  <si>
    <t>Powe consumption machine</t>
  </si>
  <si>
    <t>kW</t>
  </si>
  <si>
    <t>Cleaner cost</t>
  </si>
  <si>
    <t>https://business.gov.nl/amendments/minimum-wage-up-january-2026/</t>
  </si>
  <si>
    <t>Packaging (beer bottles)</t>
  </si>
  <si>
    <t>Euro/L</t>
  </si>
  <si>
    <t>https://brouwland.com/nl/flessen/19659-bierfles-vichy-33-cl-pallet-2888-st.html</t>
  </si>
  <si>
    <t>Hiring a location for the brewery</t>
  </si>
  <si>
    <t>https://www.fundainbusiness.nl/bedrijfshal/delft/object-43334560-einsteinweg-4/</t>
  </si>
  <si>
    <t>Lifetime brewery</t>
  </si>
  <si>
    <t>year</t>
  </si>
  <si>
    <t>Transport expenses</t>
  </si>
  <si>
    <t>Euro</t>
  </si>
  <si>
    <t>Hours of energy used for the brewery</t>
  </si>
  <si>
    <t>Hours</t>
  </si>
  <si>
    <t>https://www.scribd.com/document/260641162/Wolfgang-Kunze-Technology-Brewing-and-Malting)</t>
  </si>
  <si>
    <t>Yearly amount of  Amount of beer produced (maximum)</t>
  </si>
  <si>
    <t>L/years</t>
  </si>
  <si>
    <t>Total energy price</t>
  </si>
  <si>
    <t>Total cost ingredients</t>
  </si>
  <si>
    <t>Total fixed cost</t>
  </si>
  <si>
    <t>Total variable cost</t>
  </si>
  <si>
    <t>Initial Cost (Development and Fix Cost)</t>
  </si>
  <si>
    <t>Total cost (variable + fixed)</t>
  </si>
  <si>
    <t>Liter sold Heineken</t>
  </si>
  <si>
    <t>Liter</t>
  </si>
  <si>
    <t>https://www.theheinekencompany.com/sites/heineken-corp/files/2026-02/heineken-nv-2025-full-year-results.pdf</t>
  </si>
  <si>
    <t>Net-revenue from Heineken</t>
  </si>
  <si>
    <t>Price/Liter Heineken</t>
  </si>
  <si>
    <t>Euro/Liter</t>
  </si>
  <si>
    <t>Liter sold by our brewery</t>
  </si>
  <si>
    <t>https://time.com/7203140/gen-z-drinking-less-alcohol/</t>
  </si>
  <si>
    <t>Expected revenue for our brewery</t>
  </si>
  <si>
    <t>Plant Capacity Utilization Factor</t>
  </si>
  <si>
    <t>https://beersmith.com/blog/2014/11/05/brewhouse-efficiency-vs-mash-efficiency-in-all-grain-beer-brewing/</t>
  </si>
  <si>
    <t>Corporate income Tax rate 2026 (factor instead of percentage) above 200.000 euro</t>
  </si>
  <si>
    <t>https://www.government.nl/themes/taxes-benefits-and-allowances/taxation-and-businesses/corporation-tax</t>
  </si>
  <si>
    <t>Corporate income Tax rate 2026 (factor instead of percentage) below 200.000 euro</t>
  </si>
  <si>
    <t>Weighted Average Cost of Capital</t>
  </si>
  <si>
    <t>factor</t>
  </si>
  <si>
    <t>WACC</t>
  </si>
  <si>
    <t>Product</t>
  </si>
  <si>
    <t>Ingredients per liter</t>
  </si>
  <si>
    <t>Cost per KG</t>
  </si>
  <si>
    <t>Ingredients per year</t>
  </si>
  <si>
    <t>Total Cost per Year</t>
  </si>
  <si>
    <t>https://www.brewersfriend.com/homebrew/recipe/view/391142/08052019-lager</t>
  </si>
  <si>
    <t>Lager (1L)</t>
  </si>
  <si>
    <t>Ingredient</t>
  </si>
  <si>
    <t>Amount (KG)</t>
  </si>
  <si>
    <t>amount per liter * amount of liters produced</t>
  </si>
  <si>
    <t>ingredient per year * cost per kg</t>
  </si>
  <si>
    <t>Unit</t>
  </si>
  <si>
    <t>Lager (Kg)/L</t>
  </si>
  <si>
    <t>Water (Kg)</t>
  </si>
  <si>
    <t>euro</t>
  </si>
  <si>
    <t>Barley (Kg)</t>
  </si>
  <si>
    <t>Product produced per year</t>
  </si>
  <si>
    <t>Hop (Kg)</t>
  </si>
  <si>
    <t>L lager per year</t>
  </si>
  <si>
    <t>Yeast (Kg)</t>
  </si>
  <si>
    <t>kg lager per year</t>
  </si>
  <si>
    <t xml:space="preserve">bottles </t>
  </si>
  <si>
    <t>-</t>
  </si>
  <si>
    <t>total</t>
  </si>
  <si>
    <t>total without bottles</t>
  </si>
  <si>
    <t>kg/kWh</t>
  </si>
  <si>
    <r>
      <t>CO</t>
    </r>
    <r>
      <rPr>
        <vertAlign val="subscript"/>
        <sz val="11"/>
        <color theme="2"/>
        <rFont val="Aptos Narrow"/>
        <family val="2"/>
        <scheme val="minor"/>
      </rPr>
      <t xml:space="preserve">2 </t>
    </r>
    <r>
      <rPr>
        <sz val="11"/>
        <color theme="2"/>
        <rFont val="Aptos Narrow"/>
        <family val="2"/>
        <scheme val="minor"/>
      </rPr>
      <t>tax</t>
    </r>
  </si>
  <si>
    <t>https://www.emissieautoriteit.nl/regelgeving/co2-heffing/tarieven-co2-heffing</t>
  </si>
  <si>
    <t>https://open.overheid.nl/documenten/7bcffc44-7296-4d9b-aa96-1fe168a1168d/file</t>
  </si>
  <si>
    <t>&gt;&gt;&gt;&gt;&gt;&gt;&gt;</t>
  </si>
  <si>
    <t>https://co2emissiefactoren.nl/factoren/2026/11/elektriciteit/</t>
  </si>
  <si>
    <t>&gt;&gt;&gt;&gt;&gt;&gt;&gt;&gt;&gt;&gt;</t>
  </si>
  <si>
    <t>https://co2emissiefactoren.nl/factoren/2026/11/52/elektriciteit-stroom-onbekend-gridmix/</t>
  </si>
  <si>
    <t>ton</t>
  </si>
  <si>
    <r>
      <t>CO</t>
    </r>
    <r>
      <rPr>
        <vertAlign val="subscript"/>
        <sz val="11"/>
        <color theme="2"/>
        <rFont val="Aptos Narrow"/>
        <family val="2"/>
        <scheme val="minor"/>
      </rPr>
      <t xml:space="preserve">2 </t>
    </r>
    <r>
      <rPr>
        <sz val="11"/>
        <color theme="2"/>
        <rFont val="Aptos Narrow"/>
        <family val="2"/>
        <scheme val="minor"/>
      </rPr>
      <t>cost</t>
    </r>
  </si>
  <si>
    <r>
      <t>CO</t>
    </r>
    <r>
      <rPr>
        <vertAlign val="subscript"/>
        <sz val="11"/>
        <color theme="2"/>
        <rFont val="Aptos Narrow"/>
        <family val="2"/>
        <scheme val="minor"/>
      </rPr>
      <t>2</t>
    </r>
    <r>
      <rPr>
        <sz val="11"/>
        <color theme="2"/>
        <rFont val="Aptos Narrow"/>
        <family val="2"/>
        <scheme val="minor"/>
      </rPr>
      <t xml:space="preserve"> emission factor</t>
    </r>
  </si>
  <si>
    <r>
      <t>CO</t>
    </r>
    <r>
      <rPr>
        <vertAlign val="subscript"/>
        <sz val="11"/>
        <color theme="2"/>
        <rFont val="Aptos Narrow"/>
        <family val="2"/>
        <scheme val="minor"/>
      </rPr>
      <t xml:space="preserve">2 </t>
    </r>
    <r>
      <rPr>
        <sz val="11"/>
        <color theme="2"/>
        <rFont val="Aptos Narrow"/>
        <family val="2"/>
        <scheme val="minor"/>
      </rPr>
      <t>emission</t>
    </r>
  </si>
  <si>
    <t>Capital aanpassen</t>
  </si>
  <si>
    <t>Energy kosten</t>
  </si>
  <si>
    <t>Hele systeem heeft dit nodig</t>
  </si>
  <si>
    <t>We made a model in Aspen without exchanger and contains only utilities. That value was about 16.768 kW in Aspen. According to our case we have 16.769,6 kW (sum of all the enthalpy). We rounded some numbers in Aspen and Aspen also round numbers. I think that we could use this model to find the capital cost and cost/year of our brewery.</t>
  </si>
  <si>
    <t>Capital</t>
  </si>
  <si>
    <t>Cost/year</t>
  </si>
  <si>
    <t>Without exchangers</t>
  </si>
  <si>
    <t>Optimum Design</t>
  </si>
  <si>
    <t>The cost/s contains all the costs for heating cooling and the operating costs.</t>
  </si>
  <si>
    <t>Productie volgens Aspen</t>
  </si>
  <si>
    <t>Without Exchangers</t>
  </si>
  <si>
    <t>Optimum design</t>
  </si>
  <si>
    <t xml:space="preserve">Installatie kosten </t>
  </si>
  <si>
    <t>Location costs</t>
  </si>
  <si>
    <t>According to Ali Baba.com</t>
  </si>
  <si>
    <t>Model with the values of Aspen (WITH heat exchangers)</t>
  </si>
  <si>
    <t>Model with the values of Aspen (WITHOUT heat exchangers)</t>
  </si>
  <si>
    <t>HIGH AMOUNT OF LITERS/YEAR</t>
  </si>
  <si>
    <t>Base Model with the values of the internet (WITHOUT heat exchangers)</t>
  </si>
  <si>
    <t xml:space="preserve">Difference in net present value for different designs. Not Including the CO2 tax. We think that the model accounts for that. </t>
  </si>
  <si>
    <t>We do not know how much beer our brewery produces, but that does not make a difference for the net present value after 20 years</t>
  </si>
  <si>
    <t>If you already have a positive net present value after 20 years than it is definetly worth the effort. If not than you must have an net present value of at least -1.9 million to earn your investment back.</t>
  </si>
  <si>
    <t>Keep in mind that our values are based on estimates and can differ from a actual brewery.</t>
  </si>
  <si>
    <t>This is the same model as 'Much Liter Beer per year' but this one has LESS beer production per year. We did not include the CO2 tax yet, because we do not know if the programs accounts for that.</t>
  </si>
  <si>
    <t>We only do not know if  our brewery is small scale or large scale. Than we can make an estimate if it is worth the effort to invest. The corporate income tax is calculated for a corporate income of 2 ton euro</t>
  </si>
  <si>
    <t>Enthalpy final step</t>
  </si>
  <si>
    <t>Cp water</t>
  </si>
  <si>
    <t>Cp ethanol</t>
  </si>
  <si>
    <t>J/g*K</t>
  </si>
  <si>
    <t>https://www.engineeringtoolbox.com/water-thermal-properties--d_162.html</t>
  </si>
  <si>
    <t>mass flow rate</t>
  </si>
  <si>
    <t>kg/s</t>
  </si>
  <si>
    <t>kg/year</t>
  </si>
  <si>
    <t>Density ethanol</t>
  </si>
  <si>
    <t>Density water</t>
  </si>
  <si>
    <t>kg/m3</t>
  </si>
  <si>
    <t>https://www.engineeringtoolbox.com/ethanol-ethyl-alcohol-properties-C2H6O-d_2027.html</t>
  </si>
  <si>
    <t>Average</t>
  </si>
  <si>
    <t>kg/L</t>
  </si>
  <si>
    <t>Volume flow rate</t>
  </si>
  <si>
    <t>L/year</t>
  </si>
  <si>
    <t>https://theswaen.com/improving-brewhouse-efficiency-for-craft-brewers/</t>
  </si>
  <si>
    <t>delta T</t>
  </si>
  <si>
    <t>graden Celcius</t>
  </si>
  <si>
    <t>https://www.fundainbusiness.nl/bedrijfshal/delft/object-43356212-schieweg-91/</t>
  </si>
  <si>
    <t>Difference in energy and CO2 emission costs/year</t>
  </si>
  <si>
    <t>Extra capital costs because of the Heat Exchanger</t>
  </si>
  <si>
    <t>Maintenance cost</t>
  </si>
  <si>
    <t>Maintenance costs</t>
  </si>
  <si>
    <t>Calculation production/year</t>
  </si>
  <si>
    <t>Initial Cost (Development and Fix Cost) = CAPEX</t>
  </si>
  <si>
    <t>Operiational costs = OPEX</t>
  </si>
  <si>
    <t>Operational costs = OPEX</t>
  </si>
  <si>
    <t>Difference in net present value for the base case and the optimized case.</t>
  </si>
  <si>
    <t>∆H=  m  x C_p x ∆T ≫CP= m x C_p≫ ∆H = CP x ∆T</t>
  </si>
  <si>
    <t>m = mass flow rate</t>
  </si>
  <si>
    <t xml:space="preserve"> ∆T = </t>
  </si>
  <si>
    <t>Base case</t>
  </si>
  <si>
    <t>Optimized case</t>
  </si>
  <si>
    <t>Difference in costs</t>
  </si>
  <si>
    <t>This model does not have the values of the case study.</t>
  </si>
  <si>
    <t>This is based on values that were found on the internet.</t>
  </si>
  <si>
    <t>De point . means factor x 1000 . The komma , is a decimal sign</t>
  </si>
  <si>
    <r>
      <t>Model with the values of Aspen (</t>
    </r>
    <r>
      <rPr>
        <b/>
        <sz val="20"/>
        <color theme="1"/>
        <rFont val="Aptos Narrow"/>
        <family val="2"/>
        <scheme val="minor"/>
      </rPr>
      <t>WITHOUT</t>
    </r>
    <r>
      <rPr>
        <sz val="20"/>
        <color theme="1"/>
        <rFont val="Aptos Narrow"/>
        <family val="2"/>
        <scheme val="minor"/>
      </rPr>
      <t xml:space="preserve"> heat exchanger network)</t>
    </r>
  </si>
  <si>
    <t>Type of cost Vs Year</t>
  </si>
  <si>
    <t>`</t>
  </si>
  <si>
    <t>Cash Flow Analysis</t>
  </si>
  <si>
    <t>Calculation and Justification of the total costs</t>
  </si>
  <si>
    <r>
      <t>Model with the values of Aspen (</t>
    </r>
    <r>
      <rPr>
        <b/>
        <sz val="20"/>
        <color theme="1"/>
        <rFont val="Aptos Narrow"/>
        <family val="2"/>
        <scheme val="minor"/>
      </rPr>
      <t>WITH</t>
    </r>
    <r>
      <rPr>
        <sz val="20"/>
        <color theme="1"/>
        <rFont val="Aptos Narrow"/>
        <family val="2"/>
        <scheme val="minor"/>
      </rPr>
      <t xml:space="preserve"> heat exchangers)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</si>
</sst>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413]\ #,##0.00;[Red][$€-413]\ \-#,##0.00"/>
    <numFmt numFmtId="166" formatCode="&quot;€&quot;\ #,##0.00"/>
    <numFmt numFmtId="168" formatCode="#,##0.000"/>
  </numFmts>
  <fonts count="10" x14ac:knownFonts="1">
    <font>
      <sz val="11"/>
      <color theme="1"/>
      <name val="Aptos Narrow"/>
      <family val="2"/>
      <scheme val="minor"/>
    </font>
    <font>
      <sz val="11"/>
      <color theme="1"/>
      <name val="Aptos Narrow"/>
      <family val="2"/>
      <scheme val="minor"/>
    </font>
    <font>
      <u/>
      <sz val="11"/>
      <color theme="10"/>
      <name val="Aptos Narrow"/>
      <family val="2"/>
      <scheme val="minor"/>
    </font>
    <font>
      <sz val="8"/>
      <name val="Aptos Narrow"/>
      <family val="2"/>
      <scheme val="minor"/>
    </font>
    <font>
      <sz val="11"/>
      <color rgb="FF000000"/>
      <name val="Aptos Narrow"/>
      <family val="2"/>
    </font>
    <font>
      <sz val="11"/>
      <color theme="2"/>
      <name val="Aptos Narrow"/>
      <family val="2"/>
      <scheme val="minor"/>
    </font>
    <font>
      <vertAlign val="subscript"/>
      <sz val="11"/>
      <color theme="2"/>
      <name val="Aptos Narrow"/>
      <family val="2"/>
      <scheme val="minor"/>
    </font>
    <font>
      <sz val="20"/>
      <color theme="1"/>
      <name val="Aptos Narrow"/>
      <family val="2"/>
      <scheme val="minor"/>
    </font>
    <font>
      <sz val="11"/>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FFFFCC"/>
      </patternFill>
    </fill>
    <fill>
      <patternFill patternType="solid">
        <fgColor theme="5"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rgb="FF7030A0"/>
        <bgColor indexed="64"/>
      </patternFill>
    </fill>
    <fill>
      <patternFill patternType="solid">
        <fgColor theme="5" tint="-0.249977111117893"/>
        <bgColor indexed="64"/>
      </patternFill>
    </fill>
    <fill>
      <patternFill patternType="solid">
        <fgColor theme="3" tint="0.749992370372631"/>
        <bgColor indexed="64"/>
      </patternFill>
    </fill>
    <fill>
      <patternFill patternType="solid">
        <fgColor theme="4"/>
        <bgColor indexed="64"/>
      </patternFill>
    </fill>
    <fill>
      <patternFill patternType="solid">
        <fgColor theme="1"/>
        <bgColor indexed="64"/>
      </patternFill>
    </fill>
    <fill>
      <patternFill patternType="solid">
        <fgColor theme="8"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rgb="FF00B05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FF66"/>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FF6600"/>
        <bgColor indexed="64"/>
      </patternFill>
    </fill>
    <fill>
      <patternFill patternType="solid">
        <fgColor theme="8" tint="0.59999389629810485"/>
        <bgColor indexed="64"/>
      </patternFill>
    </fill>
  </fills>
  <borders count="32">
    <border>
      <left/>
      <right/>
      <top/>
      <bottom/>
      <diagonal/>
    </border>
    <border>
      <left style="thin">
        <color rgb="FFB2B2B2"/>
      </left>
      <right style="thin">
        <color rgb="FFB2B2B2"/>
      </right>
      <top style="thin">
        <color rgb="FFB2B2B2"/>
      </top>
      <bottom style="thin">
        <color rgb="FFB2B2B2"/>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rgb="FFB2B2B2"/>
      </left>
      <right style="thin">
        <color rgb="FFB2B2B2"/>
      </right>
      <top style="thin">
        <color rgb="FFB2B2B2"/>
      </top>
      <bottom style="medium">
        <color auto="1"/>
      </bottom>
      <diagonal/>
    </border>
    <border>
      <left style="medium">
        <color auto="1"/>
      </left>
      <right/>
      <top style="medium">
        <color auto="1"/>
      </top>
      <bottom style="medium">
        <color auto="1"/>
      </bottom>
      <diagonal/>
    </border>
    <border>
      <left style="medium">
        <color auto="1"/>
      </left>
      <right style="thin">
        <color auto="1"/>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dashed">
        <color rgb="FF000000"/>
      </right>
      <top/>
      <bottom/>
      <diagonal/>
    </border>
    <border>
      <left style="thin">
        <color rgb="FF000000"/>
      </left>
      <right style="dashed">
        <color rgb="FF000000"/>
      </right>
      <top/>
      <bottom style="thin">
        <color rgb="FF000000"/>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1" applyNumberFormat="0" applyFont="0" applyAlignment="0" applyProtection="0"/>
    <xf numFmtId="0" fontId="2" fillId="0" borderId="0" applyNumberFormat="0" applyFill="0" applyBorder="0" applyAlignment="0" applyProtection="0"/>
  </cellStyleXfs>
  <cellXfs count="135">
    <xf numFmtId="0" fontId="0" fillId="0" borderId="0" xfId="0"/>
    <xf numFmtId="0" fontId="0" fillId="3" borderId="0" xfId="0" applyFill="1"/>
    <xf numFmtId="0" fontId="0" fillId="4" borderId="0" xfId="0" applyFill="1"/>
    <xf numFmtId="3" fontId="0" fillId="0" borderId="0" xfId="0" applyNumberFormat="1"/>
    <xf numFmtId="0" fontId="0" fillId="0" borderId="2" xfId="0" applyBorder="1"/>
    <xf numFmtId="10" fontId="0" fillId="0" borderId="0" xfId="0" applyNumberFormat="1"/>
    <xf numFmtId="0" fontId="2" fillId="0" borderId="0" xfId="2"/>
    <xf numFmtId="0" fontId="0" fillId="5" borderId="3" xfId="0" applyFill="1" applyBorder="1"/>
    <xf numFmtId="0" fontId="0" fillId="6" borderId="3" xfId="0" applyFill="1" applyBorder="1"/>
    <xf numFmtId="0" fontId="0" fillId="6" borderId="7" xfId="0" applyFill="1" applyBorder="1"/>
    <xf numFmtId="0" fontId="0" fillId="7" borderId="3" xfId="0" applyFill="1" applyBorder="1"/>
    <xf numFmtId="0" fontId="0" fillId="8" borderId="3" xfId="0" applyFill="1" applyBorder="1"/>
    <xf numFmtId="9" fontId="0" fillId="0" borderId="0" xfId="0" applyNumberFormat="1"/>
    <xf numFmtId="165" fontId="0" fillId="0" borderId="0" xfId="0" applyNumberFormat="1"/>
    <xf numFmtId="0" fontId="4" fillId="3" borderId="0" xfId="0" applyFont="1" applyFill="1"/>
    <xf numFmtId="3" fontId="4" fillId="3" borderId="0" xfId="0" applyNumberFormat="1" applyFont="1" applyFill="1"/>
    <xf numFmtId="0" fontId="4" fillId="3" borderId="0" xfId="0" quotePrefix="1" applyFont="1" applyFill="1"/>
    <xf numFmtId="0" fontId="4" fillId="9" borderId="0" xfId="0" applyFont="1" applyFill="1"/>
    <xf numFmtId="3" fontId="4" fillId="9" borderId="0" xfId="0" applyNumberFormat="1" applyFont="1" applyFill="1"/>
    <xf numFmtId="164" fontId="4" fillId="9" borderId="0" xfId="0" applyNumberFormat="1" applyFont="1" applyFill="1"/>
    <xf numFmtId="0" fontId="0" fillId="9" borderId="0" xfId="0" applyFill="1"/>
    <xf numFmtId="0" fontId="4" fillId="0" borderId="0" xfId="0" applyFont="1"/>
    <xf numFmtId="0" fontId="4" fillId="10" borderId="0" xfId="0" applyFont="1" applyFill="1"/>
    <xf numFmtId="3" fontId="4" fillId="10" borderId="0" xfId="0" applyNumberFormat="1" applyFont="1" applyFill="1"/>
    <xf numFmtId="0" fontId="0" fillId="10" borderId="0" xfId="0" applyFill="1"/>
    <xf numFmtId="0" fontId="4" fillId="11" borderId="0" xfId="0" applyFont="1" applyFill="1"/>
    <xf numFmtId="0" fontId="0" fillId="3" borderId="9" xfId="0" applyFill="1" applyBorder="1"/>
    <xf numFmtId="0" fontId="4" fillId="3" borderId="10" xfId="0" applyFont="1" applyFill="1" applyBorder="1"/>
    <xf numFmtId="164" fontId="0" fillId="3" borderId="11" xfId="0" applyNumberFormat="1" applyFill="1" applyBorder="1"/>
    <xf numFmtId="0" fontId="0" fillId="3" borderId="11" xfId="0" applyFill="1" applyBorder="1"/>
    <xf numFmtId="0" fontId="4" fillId="3" borderId="12" xfId="0" applyFont="1" applyFill="1" applyBorder="1"/>
    <xf numFmtId="0" fontId="0" fillId="3" borderId="13" xfId="0" applyFill="1" applyBorder="1"/>
    <xf numFmtId="0" fontId="4" fillId="3" borderId="14" xfId="0" applyFont="1" applyFill="1" applyBorder="1"/>
    <xf numFmtId="0" fontId="4" fillId="3" borderId="15" xfId="0" applyFont="1" applyFill="1" applyBorder="1"/>
    <xf numFmtId="0" fontId="0" fillId="10" borderId="11" xfId="0" applyFill="1" applyBorder="1"/>
    <xf numFmtId="0" fontId="0" fillId="10" borderId="9" xfId="0" applyFill="1" applyBorder="1"/>
    <xf numFmtId="0" fontId="0" fillId="10" borderId="12" xfId="0" applyFill="1" applyBorder="1"/>
    <xf numFmtId="0" fontId="0" fillId="10" borderId="13" xfId="0" applyFill="1" applyBorder="1"/>
    <xf numFmtId="0" fontId="0" fillId="12" borderId="3" xfId="0" applyFill="1" applyBorder="1"/>
    <xf numFmtId="0" fontId="0" fillId="13" borderId="0" xfId="0" applyFill="1"/>
    <xf numFmtId="10" fontId="0" fillId="13" borderId="0" xfId="0" applyNumberFormat="1" applyFill="1"/>
    <xf numFmtId="0" fontId="0" fillId="14" borderId="0" xfId="0" applyFill="1"/>
    <xf numFmtId="0" fontId="0" fillId="15" borderId="3" xfId="0" applyFill="1" applyBorder="1"/>
    <xf numFmtId="0" fontId="0" fillId="16" borderId="3" xfId="0" applyFill="1" applyBorder="1"/>
    <xf numFmtId="0" fontId="0" fillId="16" borderId="7" xfId="0" applyFill="1" applyBorder="1"/>
    <xf numFmtId="4" fontId="0" fillId="2" borderId="1" xfId="1" applyNumberFormat="1" applyFont="1"/>
    <xf numFmtId="4" fontId="0" fillId="2" borderId="5" xfId="1" applyNumberFormat="1" applyFont="1" applyBorder="1"/>
    <xf numFmtId="4" fontId="0" fillId="0" borderId="0" xfId="0" applyNumberFormat="1"/>
    <xf numFmtId="4" fontId="0" fillId="13" borderId="0" xfId="0" applyNumberFormat="1" applyFill="1"/>
    <xf numFmtId="0" fontId="4" fillId="10" borderId="8" xfId="0" applyFont="1" applyFill="1" applyBorder="1"/>
    <xf numFmtId="0" fontId="4" fillId="10" borderId="9" xfId="0" applyFont="1" applyFill="1" applyBorder="1"/>
    <xf numFmtId="0" fontId="0" fillId="17" borderId="7" xfId="0" applyFill="1" applyBorder="1"/>
    <xf numFmtId="0" fontId="5" fillId="18" borderId="4" xfId="0" applyFont="1" applyFill="1" applyBorder="1"/>
    <xf numFmtId="0" fontId="5" fillId="18" borderId="6" xfId="0" applyFont="1" applyFill="1" applyBorder="1" applyAlignment="1">
      <alignment vertical="center"/>
    </xf>
    <xf numFmtId="0" fontId="5" fillId="18" borderId="16" xfId="0" applyFont="1" applyFill="1" applyBorder="1"/>
    <xf numFmtId="0" fontId="0" fillId="19" borderId="0" xfId="0" applyFill="1"/>
    <xf numFmtId="4" fontId="0" fillId="20" borderId="1" xfId="1" applyNumberFormat="1" applyFont="1" applyFill="1"/>
    <xf numFmtId="0" fontId="0" fillId="18" borderId="0" xfId="0" applyFill="1"/>
    <xf numFmtId="0" fontId="0" fillId="21" borderId="0" xfId="0" applyFill="1"/>
    <xf numFmtId="4" fontId="0" fillId="21" borderId="0" xfId="0" applyNumberFormat="1" applyFill="1"/>
    <xf numFmtId="9" fontId="0" fillId="21" borderId="0" xfId="0" applyNumberFormat="1" applyFill="1"/>
    <xf numFmtId="4" fontId="4" fillId="21" borderId="0" xfId="0" applyNumberFormat="1" applyFont="1" applyFill="1"/>
    <xf numFmtId="166" fontId="4" fillId="3" borderId="0" xfId="0" applyNumberFormat="1" applyFont="1" applyFill="1"/>
    <xf numFmtId="166" fontId="4" fillId="10" borderId="0" xfId="0" applyNumberFormat="1" applyFont="1" applyFill="1"/>
    <xf numFmtId="166" fontId="0" fillId="0" borderId="0" xfId="0" applyNumberFormat="1"/>
    <xf numFmtId="4" fontId="0" fillId="22" borderId="1" xfId="1" applyNumberFormat="1" applyFont="1" applyFill="1"/>
    <xf numFmtId="4" fontId="0" fillId="22" borderId="0" xfId="0" applyNumberFormat="1" applyFill="1"/>
    <xf numFmtId="4" fontId="0" fillId="20" borderId="0" xfId="0" applyNumberFormat="1" applyFill="1"/>
    <xf numFmtId="0" fontId="0" fillId="23" borderId="0" xfId="0" applyFill="1"/>
    <xf numFmtId="166" fontId="0" fillId="23" borderId="0" xfId="0" applyNumberFormat="1" applyFill="1"/>
    <xf numFmtId="4" fontId="8" fillId="22" borderId="1" xfId="1" applyNumberFormat="1" applyFont="1" applyFill="1"/>
    <xf numFmtId="4" fontId="8" fillId="22" borderId="0" xfId="0" applyNumberFormat="1" applyFont="1" applyFill="1"/>
    <xf numFmtId="4" fontId="8" fillId="22" borderId="5" xfId="1" applyNumberFormat="1" applyFont="1" applyFill="1" applyBorder="1"/>
    <xf numFmtId="0" fontId="7" fillId="19" borderId="0" xfId="0" applyFont="1" applyFill="1" applyAlignment="1">
      <alignment horizontal="center"/>
    </xf>
    <xf numFmtId="165" fontId="0" fillId="27" borderId="21" xfId="0" applyNumberFormat="1" applyFill="1" applyBorder="1"/>
    <xf numFmtId="0" fontId="0" fillId="27" borderId="22" xfId="0" applyFill="1" applyBorder="1"/>
    <xf numFmtId="0" fontId="0" fillId="27" borderId="23" xfId="0" applyFill="1" applyBorder="1"/>
    <xf numFmtId="0" fontId="0" fillId="27" borderId="24" xfId="0" applyFill="1" applyBorder="1"/>
    <xf numFmtId="10" fontId="0" fillId="27" borderId="25" xfId="0" applyNumberFormat="1" applyFill="1" applyBorder="1"/>
    <xf numFmtId="165" fontId="0" fillId="3" borderId="26" xfId="0" applyNumberFormat="1" applyFill="1" applyBorder="1"/>
    <xf numFmtId="165" fontId="0" fillId="3" borderId="19" xfId="0" applyNumberFormat="1" applyFill="1" applyBorder="1"/>
    <xf numFmtId="165" fontId="0" fillId="3" borderId="0" xfId="0" applyNumberFormat="1" applyFill="1" applyBorder="1"/>
    <xf numFmtId="165" fontId="0" fillId="3" borderId="25" xfId="0" applyNumberFormat="1" applyFill="1" applyBorder="1"/>
    <xf numFmtId="165" fontId="0" fillId="4" borderId="0" xfId="0" applyNumberFormat="1" applyFill="1" applyBorder="1"/>
    <xf numFmtId="165" fontId="0" fillId="4" borderId="25" xfId="0" applyNumberFormat="1" applyFill="1" applyBorder="1"/>
    <xf numFmtId="165" fontId="0" fillId="28" borderId="0" xfId="0" applyNumberFormat="1" applyFill="1" applyBorder="1"/>
    <xf numFmtId="165" fontId="0" fillId="28" borderId="25" xfId="0" applyNumberFormat="1" applyFill="1" applyBorder="1"/>
    <xf numFmtId="165" fontId="0" fillId="28" borderId="28" xfId="0" applyNumberFormat="1" applyFill="1" applyBorder="1"/>
    <xf numFmtId="165" fontId="0" fillId="28" borderId="21" xfId="0" applyNumberFormat="1" applyFill="1" applyBorder="1"/>
    <xf numFmtId="0" fontId="0" fillId="10" borderId="22" xfId="0" applyFill="1" applyBorder="1"/>
    <xf numFmtId="0" fontId="0" fillId="10" borderId="24" xfId="0" applyFill="1" applyBorder="1"/>
    <xf numFmtId="0" fontId="0" fillId="25" borderId="24" xfId="0" applyFill="1" applyBorder="1"/>
    <xf numFmtId="0" fontId="0" fillId="24" borderId="24" xfId="0" applyFill="1" applyBorder="1"/>
    <xf numFmtId="0" fontId="0" fillId="24" borderId="23" xfId="0" applyFill="1" applyBorder="1"/>
    <xf numFmtId="0" fontId="0" fillId="26" borderId="29" xfId="0" applyFill="1" applyBorder="1"/>
    <xf numFmtId="0" fontId="0" fillId="26" borderId="30" xfId="0" applyFill="1" applyBorder="1"/>
    <xf numFmtId="0" fontId="0" fillId="26" borderId="31" xfId="0" applyFill="1" applyBorder="1"/>
    <xf numFmtId="0" fontId="0" fillId="26" borderId="17" xfId="0" applyFill="1" applyBorder="1"/>
    <xf numFmtId="0" fontId="0" fillId="29" borderId="24" xfId="0" applyFill="1" applyBorder="1"/>
    <xf numFmtId="0" fontId="0" fillId="29" borderId="23" xfId="0" applyFill="1" applyBorder="1"/>
    <xf numFmtId="165" fontId="0" fillId="3" borderId="18" xfId="0" applyNumberFormat="1" applyFill="1" applyBorder="1"/>
    <xf numFmtId="165" fontId="0" fillId="3" borderId="27" xfId="0" applyNumberFormat="1" applyFill="1" applyBorder="1"/>
    <xf numFmtId="165" fontId="0" fillId="4" borderId="27" xfId="0" applyNumberFormat="1" applyFill="1" applyBorder="1"/>
    <xf numFmtId="165" fontId="0" fillId="24" borderId="27" xfId="0" applyNumberFormat="1" applyFill="1" applyBorder="1"/>
    <xf numFmtId="165" fontId="0" fillId="24" borderId="0" xfId="0" applyNumberFormat="1" applyFill="1" applyBorder="1"/>
    <xf numFmtId="165" fontId="0" fillId="24" borderId="25" xfId="0" applyNumberFormat="1" applyFill="1" applyBorder="1"/>
    <xf numFmtId="165" fontId="0" fillId="24" borderId="20" xfId="0" applyNumberFormat="1" applyFill="1" applyBorder="1"/>
    <xf numFmtId="165" fontId="0" fillId="24" borderId="28" xfId="0" applyNumberFormat="1" applyFill="1" applyBorder="1"/>
    <xf numFmtId="165" fontId="0" fillId="24" borderId="21" xfId="0" applyNumberFormat="1" applyFill="1" applyBorder="1"/>
    <xf numFmtId="4" fontId="0" fillId="30" borderId="0" xfId="0" applyNumberFormat="1" applyFill="1"/>
    <xf numFmtId="0" fontId="0" fillId="30" borderId="0" xfId="0" applyFill="1"/>
    <xf numFmtId="10" fontId="0" fillId="30" borderId="0" xfId="0" applyNumberFormat="1" applyFill="1"/>
    <xf numFmtId="0" fontId="0" fillId="31" borderId="24" xfId="0" applyFill="1" applyBorder="1"/>
    <xf numFmtId="0" fontId="0" fillId="31" borderId="23" xfId="0" applyFill="1" applyBorder="1"/>
    <xf numFmtId="165" fontId="0" fillId="28" borderId="27" xfId="0" applyNumberFormat="1" applyFill="1" applyBorder="1"/>
    <xf numFmtId="165" fontId="0" fillId="28" borderId="20" xfId="0" applyNumberFormat="1" applyFill="1" applyBorder="1"/>
    <xf numFmtId="0" fontId="0" fillId="32" borderId="19" xfId="0" applyFill="1" applyBorder="1" applyAlignment="1">
      <alignment horizontal="center"/>
    </xf>
    <xf numFmtId="0" fontId="0" fillId="32" borderId="20" xfId="0" applyFill="1" applyBorder="1" applyAlignment="1">
      <alignment horizontal="center"/>
    </xf>
    <xf numFmtId="0" fontId="0" fillId="32" borderId="21" xfId="0" applyFill="1" applyBorder="1" applyAlignment="1">
      <alignment horizontal="center"/>
    </xf>
    <xf numFmtId="0" fontId="7" fillId="32" borderId="18" xfId="0" applyFont="1" applyFill="1" applyBorder="1" applyAlignment="1">
      <alignment horizontal="center" vertical="center"/>
    </xf>
    <xf numFmtId="0" fontId="7" fillId="32" borderId="19" xfId="0" applyFont="1" applyFill="1" applyBorder="1" applyAlignment="1">
      <alignment horizontal="center" vertical="center"/>
    </xf>
    <xf numFmtId="0" fontId="7" fillId="32" borderId="27" xfId="0" applyFont="1" applyFill="1" applyBorder="1" applyAlignment="1">
      <alignment horizontal="center" vertical="center"/>
    </xf>
    <xf numFmtId="0" fontId="7" fillId="32" borderId="25" xfId="0" applyFont="1" applyFill="1" applyBorder="1" applyAlignment="1">
      <alignment horizontal="center" vertical="center"/>
    </xf>
    <xf numFmtId="0" fontId="7" fillId="32" borderId="20" xfId="0" applyFont="1" applyFill="1" applyBorder="1" applyAlignment="1">
      <alignment horizontal="center" vertical="center"/>
    </xf>
    <xf numFmtId="0" fontId="7" fillId="32" borderId="21" xfId="0" applyFont="1" applyFill="1" applyBorder="1" applyAlignment="1">
      <alignment horizontal="center" vertical="center"/>
    </xf>
    <xf numFmtId="10" fontId="0" fillId="33" borderId="0" xfId="0" applyNumberFormat="1" applyFill="1"/>
    <xf numFmtId="9" fontId="0" fillId="33" borderId="0" xfId="0" applyNumberFormat="1" applyFill="1"/>
    <xf numFmtId="0" fontId="0" fillId="33" borderId="0" xfId="0" applyFill="1"/>
    <xf numFmtId="0" fontId="0" fillId="32" borderId="26" xfId="0" applyFill="1" applyBorder="1" applyAlignment="1">
      <alignment horizontal="center"/>
    </xf>
    <xf numFmtId="0" fontId="0" fillId="32" borderId="28" xfId="0" applyFill="1" applyBorder="1" applyAlignment="1">
      <alignment horizontal="center"/>
    </xf>
    <xf numFmtId="0" fontId="7" fillId="32" borderId="26" xfId="0" applyFont="1" applyFill="1" applyBorder="1" applyAlignment="1">
      <alignment horizontal="center" vertical="center"/>
    </xf>
    <xf numFmtId="0" fontId="7" fillId="32" borderId="0"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8" xfId="0" applyFont="1" applyFill="1" applyBorder="1" applyAlignment="1">
      <alignment horizontal="center"/>
    </xf>
    <xf numFmtId="168" fontId="0" fillId="22" borderId="1" xfId="1" applyNumberFormat="1" applyFont="1" applyFill="1"/>
  </cellXfs>
  <cellStyles count="3">
    <cellStyle name="Hyperlink" xfId="2" builtinId="8"/>
    <cellStyle name="Normal" xfId="0" builtinId="0"/>
    <cellStyle name="Note" xfId="1" builtinId="10"/>
  </cellStyles>
  <dxfs count="0"/>
  <tableStyles count="0" defaultTableStyle="TableStyleMedium2" defaultPivotStyle="PivotStyleLight16"/>
  <colors>
    <mruColors>
      <color rgb="FFFF6600"/>
      <color rgb="FFFFFF6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y den Haan" id="{6AD477CE-F9B1-48D3-9307-EB1C81938E13}" userId="S::kahaan@tudelft.nl::fca10538-3284-429c-8b8d-68bbdc39a289" providerId="AD"/>
  <person displayName="Olov Folmer" id="{D273D383-77AE-4876-A169-1A6148EF9DF4}" userId="S::ofolmer@tudelft.nl::f80c4acb-9d27-4c25-b956-8674fd58173e" providerId="AD"/>
  <person displayName="Jeanneau Ham" id="{2D4DED1C-4171-4C1C-99D7-B5842046CB19}" userId="S::jeanneauham@tudelft.nl::8b03b9f1-3ac1-4b92-a44a-e40018beac4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8" dT="2026-06-10T12:17:19.43" personId="{6AD477CE-F9B1-48D3-9307-EB1C81938E13}" id="{E8F1AC40-30C1-4E03-AD3F-31BE29F0ABDE}">
    <text>All the energy prices are an average of each month so these are not exact values. We took the ones of the most recent month: May 2026</text>
  </threadedComment>
  <threadedComment ref="C19" dT="2026-06-10T12:37:25.83" personId="{6AD477CE-F9B1-48D3-9307-EB1C81938E13}" id="{33FFF919-B2F8-40B9-B4CE-4E2063829BBE}">
    <text>We do not know yet if we use the natural gas for our process. Maybe if we need heat exchangers, than we can use natural gas to heat up the process, but maybe not. I have wrote this down just to be sure.</text>
  </threadedComment>
  <threadedComment ref="B34" dT="2026-06-23T07:50:21.34" personId="{6AD477CE-F9B1-48D3-9307-EB1C81938E13}" id="{878F0B17-8749-4147-A857-36A180C7452B}">
    <text>Keep in mind that the price from Ali baba changes daily.</text>
  </threadedComment>
  <threadedComment ref="B36" dT="2026-06-12T09:09:46.86" personId="{6AD477CE-F9B1-48D3-9307-EB1C81938E13}" id="{67894B4F-9874-4EF2-84E3-B0E048DB8DCC}">
    <text>We hire three person to clean for 18 euro’s/ hour. They work for 8 hours once a month. That is how calculated this value.</text>
  </threadedComment>
  <threadedComment ref="B37" dT="2026-06-12T09:55:47.27" personId="{6AD477CE-F9B1-48D3-9307-EB1C81938E13}" id="{FED97529-EB1C-4E7B-81EE-CAB903EB5B68}">
    <text>529 euro divided by 2888 bottles divided by 33 cl = 0,555 Euro/liter</text>
  </threadedComment>
  <threadedComment ref="B38" dT="2026-06-11T08:18:19.49" personId="{6AD477CE-F9B1-48D3-9307-EB1C81938E13}" id="{B9D61578-8572-4495-A4B9-D40ACB3DDF83}">
    <text xml:space="preserve">We found this value on Funda. This is a well-known real estate website. You can also buy houses there. </text>
  </threadedComment>
  <threadedComment ref="B39" dT="2026-06-10T10:14:42.58" personId="{6AD477CE-F9B1-48D3-9307-EB1C81938E13}" id="{B38CC4BB-3778-4249-B99E-DC3B2AF5B257}">
    <text>We thought this was appropiate, because the machines are made stainless steel. Besides that we need to have limit for the investment. If you do not earn enough money with beer in 20 years, the investment is not worth the effort.</text>
  </threadedComment>
  <threadedComment ref="B40" dT="2026-06-11T08:11:37.33" personId="{6AD477CE-F9B1-48D3-9307-EB1C81938E13}" id="{3C24F0C0-4F6E-4EC3-8293-77D0FA9B3619}">
    <text>People buy directly from the brewery, because we are as start-up business.</text>
  </threadedComment>
  <threadedComment ref="B42" dT="2026-06-11T14:01:46.73" personId="{D273D383-77AE-4876-A169-1A6148EF9DF4}" id="{97949D54-9F9E-4C38-8554-4419D56891F9}">
    <text>Max amount in a year for this machine</text>
  </threadedComment>
  <threadedComment ref="B44" dT="2026-06-17T12:38:41.65" personId="{6AD477CE-F9B1-48D3-9307-EB1C81938E13}" id="{2F630EC3-3A2B-47AC-8376-500909395810}">
    <text>This is also the emission tax for the upcoming years.</text>
  </threadedComment>
  <threadedComment ref="B45" dT="2026-06-17T12:58:26.01" personId="{6AD477CE-F9B1-48D3-9307-EB1C81938E13}" id="{6D8A348F-7089-438A-B529-8F99FE0088F3}">
    <text>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ext>
  </threadedComment>
  <threadedComment ref="B49" dT="2026-06-11T14:03:41.08" personId="{D273D383-77AE-4876-A169-1A6148EF9DF4}" id="{67080D98-3884-46B6-AAE5-AAE4BB9EFE8F}">
    <text>80kW machine, running nonstop and price netherlands energy</text>
  </threadedComment>
  <threadedComment ref="B49" dT="2026-06-12T09:58:31.22" personId="{6AD477CE-F9B1-48D3-9307-EB1C81938E13}" id="{466F0FB6-3C3D-4230-BDC8-4354FBED90B6}" parentId="{67080D98-3884-46B6-AAE5-AAE4BB9EFE8F}">
    <text>Minus the 12 days/year for cleaning the machine. The machine does not work non-stop but over a year we assume a continuous process.</text>
  </threadedComment>
  <threadedComment ref="B50" dT="2026-06-12T10:02:03.99" personId="{6AD477CE-F9B1-48D3-9307-EB1C81938E13}" id="{B5F11C7D-60E8-4CF1-9F95-96A4C52BF502}">
    <text xml:space="preserve">See below </text>
  </threadedComment>
  <threadedComment ref="B51" dT="2026-06-12T10:03:25.98" personId="{6AD477CE-F9B1-48D3-9307-EB1C81938E13}" id="{5DFE3220-0BB6-4E27-8230-197876897DF1}">
    <text>Rent/ year + cleaning cost</text>
  </threadedComment>
  <threadedComment ref="B58" dT="2026-06-12T12:29:16.15" personId="{6AD477CE-F9B1-48D3-9307-EB1C81938E13}" id="{A5BE7EF2-21DA-4528-9DDD-F87DE743C18B}">
    <text>We calculated the price/ Liter by using de net-revenue from Heineken and dividing it by the liters that Heineken sold. We chose Heineken because they upload their reports to the internet, and they are a well-known beer company.</text>
  </threadedComment>
  <threadedComment ref="B59" dT="2026-06-12T08:22:53.71" personId="{6AD477CE-F9B1-48D3-9307-EB1C81938E13}" id="{BEBAF9EB-DAC3-4C8B-8C6D-DA88BDA5D9F2}">
    <text xml:space="preserve">Not all the beer that we produce is sold. We think that we sell 93%, because we do not think that the group of 18-25 years will drink much in the future. </text>
  </threadedComment>
  <threadedComment ref="B60" dT="2026-06-12T11:14:11.20" personId="{6AD477CE-F9B1-48D3-9307-EB1C81938E13}" id="{7F42268E-2DD6-4FF6-AEAC-592A210EDA8E}">
    <text>Liter produced x price/liter of Heineken</text>
  </threadedComment>
  <threadedComment ref="B61" dT="2026-06-11T09:22:50.13" personId="{D273D383-77AE-4876-A169-1A6148EF9DF4}" id="{EB235B99-1B76-42D9-8351-F47CBB309AAF}">
    <text xml:space="preserve">0.78 genomen, omdat we medium size zijn. Small-scale zit rond 0.72 en large-scale rond .90 of hoger. </text>
  </threadedComment>
  <threadedComment ref="B61" dT="2026-06-12T11:14:53.42" personId="{6AD477CE-F9B1-48D3-9307-EB1C81938E13}" id="{E5E68AF0-6556-4BC5-871E-0BB56D936A6D}" parentId="{EB235B99-1B76-42D9-8351-F47CBB309AAF}">
    <text xml:space="preserve">We took 0.78 because we are medium-sized. Small-scale is around 0.72 and large-scale around 0.90 or higher. </text>
  </threadedComment>
</ThreadedComments>
</file>

<file path=xl/threadedComments/threadedComment2.xml><?xml version="1.0" encoding="utf-8"?>
<ThreadedComments xmlns="http://schemas.microsoft.com/office/spreadsheetml/2018/threadedcomments" xmlns:x="http://schemas.openxmlformats.org/spreadsheetml/2006/main">
  <threadedComment ref="A15" dT="2026-06-12T08:31:00.02" personId="{2D4DED1C-4171-4C1C-99D7-B5842046CB19}" id="{E6AB1E36-B31A-45EA-90E5-48CE664A28EF}">
    <text>Doen we hier uberhaupt iets mee of is dit eigenlijk niet echt nodig?</text>
  </threadedComment>
  <threadedComment ref="C15" dT="2026-06-10T12:17:19.43" personId="{6AD477CE-F9B1-48D3-9307-EB1C81938E13}" id="{7181602C-CF67-4B50-B818-A94BC45FE547}">
    <text>All the energy prices are an average of each month so these are not exact values. We took the ones of the most recent month: May 2026</text>
  </threadedComment>
  <threadedComment ref="C16" dT="2026-06-10T12:37:25.83" personId="{6AD477CE-F9B1-48D3-9307-EB1C81938E13}" id="{4A0E1460-8B99-4257-8E25-185384F3576F}">
    <text>We do not know yet if we use the natural gas for our process. Maybe if we need heat exchangers, than we can use natural gas to heat up the process, but maybe not. I have wrote this down just to be sure.</text>
  </threadedComment>
  <threadedComment ref="B31" dT="2026-06-24T12:00:20.05" personId="{6AD477CE-F9B1-48D3-9307-EB1C81938E13}" id="{806ABBE8-6D99-4E7A-AD96-27C60FDE4116}">
    <text>This is an estimation of the capital costs recommended (Maxim Tschulkow, personal communication June 23 2026) We just want to show you that the net present value becomes more positive after applying Heat Exchangers. This is a limitation of our model.</text>
  </threadedComment>
  <threadedComment ref="B32" dT="2026-06-21T10:25:14.67" personId="{6AD477CE-F9B1-48D3-9307-EB1C81938E13}" id="{FB5D4C36-28C9-4EC1-8DFE-4264246BFF38}">
    <text>We made a model in Aspen without exchanger and contains only utilities. That value was about 16.768 kW in Aspen. According to our case we have 16.769,6 kW (sum of all the enthalpy). We rounded some numbers in Aspen and Aspen also round numbers. I think that we could use this model to find the capital cost and cost/year of our brewery.</text>
  </threadedComment>
  <threadedComment ref="B33" dT="2026-06-12T09:09:46.86" personId="{6AD477CE-F9B1-48D3-9307-EB1C81938E13}" id="{23778F07-729B-4C77-B50F-D94252E16FA8}">
    <text>10% of the capital costs are maintenance costs. This was recommended (Maxim Tschulkow, personal communication June 23 2026). This is also a limitation of our model.</text>
  </threadedComment>
  <threadedComment ref="B34" dT="2026-06-12T09:55:47.27" personId="{6AD477CE-F9B1-48D3-9307-EB1C81938E13}" id="{7A09D710-8B0E-4E50-9D78-7934108BF5A3}">
    <text>529 euro divided by 2888 bottles divided by 33 cl = 0,555 Euro/liter</text>
  </threadedComment>
  <threadedComment ref="B35" dT="2026-06-21T09:19:19.64" personId="{6AD477CE-F9B1-48D3-9307-EB1C81938E13}" id="{CC55714C-4357-4F35-8925-53FC195DDB5D}">
    <text>We took this place to build the brewery. We needed a bigger one than the base model.</text>
  </threadedComment>
  <threadedComment ref="B36" dT="2026-06-10T10:14:42.58" personId="{6AD477CE-F9B1-48D3-9307-EB1C81938E13}" id="{9ED2CC6C-7FEF-4372-8C2D-FA89FB1CADA6}">
    <text>We thought this was appropiate, because the machines are made stainless steel. Besides that we need to have limit for the investment. If you do not earn enough money with beer in 20 years, the investment is not worth the effort.</text>
  </threadedComment>
  <threadedComment ref="B37" dT="2026-06-11T08:11:37.33" personId="{6AD477CE-F9B1-48D3-9307-EB1C81938E13}" id="{F27A004F-BBFB-43CF-A897-F347CA937A4B}">
    <text>People buy directly from the brewery, because we are as start-up business.</text>
  </threadedComment>
  <threadedComment ref="B41" dT="2026-06-17T12:38:41.65" personId="{6AD477CE-F9B1-48D3-9307-EB1C81938E13}" id="{810946DF-2337-4FB1-A147-A968E676F322}">
    <text>This is also the emission tax for the upcoming years.</text>
  </threadedComment>
  <threadedComment ref="B42" dT="2026-06-17T12:58:26.01" personId="{6AD477CE-F9B1-48D3-9307-EB1C81938E13}" id="{86F2E6A7-C5FF-4889-9724-6A1540DF6796}">
    <text>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ext>
  </threadedComment>
  <threadedComment ref="B46" dT="2026-06-25T07:40:18.18" personId="{6AD477CE-F9B1-48D3-9307-EB1C81938E13}" id="{487D489C-9D0B-4EE9-9C62-B925E109FB64}">
    <text>Amount of power x amount of hours x (energy price + tax) + transport rate + contract costs + refund</text>
  </threadedComment>
  <threadedComment ref="B47" dT="2026-06-12T10:02:03.99" personId="{6AD477CE-F9B1-48D3-9307-EB1C81938E13}" id="{EF5B98BE-F389-407E-9CB6-CB65FE104669}">
    <text xml:space="preserve">See below </text>
  </threadedComment>
  <threadedComment ref="B48" dT="2026-06-12T10:03:25.98" personId="{6AD477CE-F9B1-48D3-9307-EB1C81938E13}" id="{E21233CA-1EDC-454A-90FA-4CBF8A7EECEA}">
    <text>Rent/ year + maintenance + watersupply</text>
  </threadedComment>
  <threadedComment ref="B49" dT="2026-06-25T07:36:52.49" personId="{6AD477CE-F9B1-48D3-9307-EB1C81938E13}" id="{8872B4B5-7A67-42D3-BF38-5F7B2D9F885B}">
    <text>CO2 cost + OPEX + total cost ingredients.</text>
  </threadedComment>
  <threadedComment ref="L50" dT="2026-06-23T07:37:58.77" personId="{6AD477CE-F9B1-48D3-9307-EB1C81938E13}" id="{CEC3CB52-B90A-4BBE-8CF9-62BFFCE4F27C}">
    <text>This value is calculated using the formula of enthalpy with Cp*m*deltaT. You can see this formula next to the cell. We took 95% water and 5% ethanol(alcohol) and neglected the other ingredients because their fraction in the mixture is below 1%.</text>
  </threadedComment>
  <threadedComment ref="L51" dT="2026-06-23T07:38:25.97" personId="{6AD477CE-F9B1-48D3-9307-EB1C81938E13}" id="{B5EB7D6A-41AC-4AED-B8F2-D9C2A8A0E8B2}">
    <text>Mass flow rate converted to kg/year.</text>
  </threadedComment>
  <threadedComment ref="B53" dT="2026-06-25T07:21:16.56" personId="{6AD477CE-F9B1-48D3-9307-EB1C81938E13}" id="{49E74063-6589-4BAA-9E1B-3E0BA281B755}">
    <text>Amount of Liters sold of Heineken in 2025.</text>
  </threadedComment>
  <threadedComment ref="B54" dT="2026-06-25T07:22:05.71" personId="{6AD477CE-F9B1-48D3-9307-EB1C81938E13}" id="{9AD951A2-5326-4ECB-B2BB-1F821E0607B0}">
    <text>The net-revenue that was sold by Heineken.</text>
  </threadedComment>
  <threadedComment ref="L54" dT="2026-06-23T07:42:14.52" personId="{6AD477CE-F9B1-48D3-9307-EB1C81938E13}" id="{DD484707-E007-4793-AA93-8B689DC88BC6}">
    <text>Average density determined the same way as the average Cp.</text>
  </threadedComment>
  <threadedComment ref="B55" dT="2026-06-12T12:29:16.15" personId="{6AD477CE-F9B1-48D3-9307-EB1C81938E13}" id="{E4C21771-C47F-4440-8824-A1B5FA634942}">
    <text>We calculated the price/ Liter by using de net-revenue from Heineken and dividing it by the liters that Heineken sold. We chose Heineken because they upload their reports to the internet, and they are a well-known beer company.</text>
  </threadedComment>
  <threadedComment ref="L55" dT="2026-06-23T07:43:03.84" personId="{6AD477CE-F9B1-48D3-9307-EB1C81938E13}" id="{6E655506-C231-4750-961C-BD11905FAE34}">
    <text>Mass flow rate divided by the density of the final mixture.</text>
  </threadedComment>
  <threadedComment ref="B56" dT="2026-06-12T08:22:53.71" personId="{6AD477CE-F9B1-48D3-9307-EB1C81938E13}" id="{6EEA580D-9934-44DC-B4B7-75156095DA40}">
    <text>Utilization factor applied for our brewery.</text>
  </threadedComment>
  <threadedComment ref="B57" dT="2026-06-12T11:14:11.20" personId="{6AD477CE-F9B1-48D3-9307-EB1C81938E13}" id="{0D13EC71-7EFA-43D0-BA54-74AC87C3BA0C}">
    <text>Liter produced x price/liter of Heineken</text>
  </threadedComment>
  <threadedComment ref="B58" dT="2026-06-23T07:46:35.83" personId="{D273D383-77AE-4876-A169-1A6148EF9DF4}" id="{B62E2696-00A3-4A4A-8B00-8BCD7ADDD63F}">
    <text>Large-scale breweries run at 92-100% efficiency</text>
  </threadedComment>
  <threadedComment ref="B58" dT="2026-06-25T07:22:52.61" personId="{6AD477CE-F9B1-48D3-9307-EB1C81938E13}" id="{8A60268D-4A0B-4BCF-9418-5A5797137302}" parentId="{B62E2696-00A3-4A4A-8B00-8BCD7ADDD63F}">
    <text>Our Brewery has maybe a lower factor, because it is a startup. That is why we chose 0,90.</text>
  </threadedComment>
  <threadedComment ref="B60" dT="2026-06-23T09:25:09.63" personId="{6AD477CE-F9B1-48D3-9307-EB1C81938E13}" id="{3CB9FA37-C9BA-4DF9-B372-7ADA0C87FA53}">
    <text xml:space="preserve">You need to add 38.000 euro if you have a profit above 200.000 euro. You need to be pay this besides the 26% corporate income tax. </text>
  </threadedComment>
  <threadedComment ref="I65" dT="2026-06-23T09:07:23.24" personId="{2D4DED1C-4171-4C1C-99D7-B5842046CB19}" id="{8954B9EC-1D15-4225-B99E-F5FA8D6A677E}">
    <text>Puur voor de verhoudingen, we gebruiken onze eigen hop en eigen prijs hiervoor maar de verhoudingen zouden ongeveer hetzelfde moeten zijn.</text>
  </threadedComment>
  <threadedComment ref="A91" dT="2026-06-12T08:31:00.02" personId="{2D4DED1C-4171-4C1C-99D7-B5842046CB19}" id="{DC41C337-DC44-40E5-B0D0-E1E4FCB5D03F}">
    <text>Doen we hier uberhaupt iets mee of is dit eigenlijk niet echt nodig?</text>
  </threadedComment>
  <threadedComment ref="C91" dT="2026-06-10T12:17:19.43" personId="{6AD477CE-F9B1-48D3-9307-EB1C81938E13}" id="{8F69F133-DBB7-405F-AC2C-C3394BA7A692}">
    <text>All the energy prices are an average of each month so these are not exact values. We took the ones of the most recent month: May 2026</text>
  </threadedComment>
  <threadedComment ref="C92" dT="2026-06-10T12:37:25.83" personId="{6AD477CE-F9B1-48D3-9307-EB1C81938E13}" id="{FFB46685-6141-4558-9B7A-CEA7C45117E4}">
    <text>We do not know yet if we use the natural gas for our process. Maybe if we need heat exchangers, than we can use natural gas to heat up the process, but maybe not. I have wrote this down just to be sure.</text>
  </threadedComment>
  <threadedComment ref="B107" dT="2026-06-25T07:27:54.95" personId="{6AD477CE-F9B1-48D3-9307-EB1C81938E13}" id="{42586222-C10D-4FFB-8ED5-71461A2E6A8E}">
    <text>This is an estimation of the capital costs. This is the same as the capital costs of the base case, but now with the extra costs of applying a Heat Exchanger.</text>
  </threadedComment>
  <threadedComment ref="B108" dT="2026-06-21T10:24:53.42" personId="{6AD477CE-F9B1-48D3-9307-EB1C81938E13}" id="{DFAFD8E6-A127-4CC5-AF5D-95110C8BBA07}">
    <text>This is the energy for the hot and cold utilities combined. We took this from the most optimal design from Aspen Energy analyzer. This is now lower, because there is more heat exchanged.</text>
  </threadedComment>
  <threadedComment ref="B109" dT="2026-06-12T09:09:46.86" personId="{6AD477CE-F9B1-48D3-9307-EB1C81938E13}" id="{501017A0-2A47-47AE-B4D3-882C507A656C}">
    <text>10% of the capital costs are maintenance costs. This was recommended (Maxim Tschulkow, personal communication June 23 2026). This is also a limitation of our model.</text>
  </threadedComment>
  <threadedComment ref="J109" dT="2026-06-25T07:46:01.61" personId="{6AD477CE-F9B1-48D3-9307-EB1C81938E13}" id="{08167440-F136-42FE-B754-6192E8F8DB30}">
    <text>Aspen calculates with a different CAPEX. They only take the price of the heaters and the coolers and not of the whole process. So the difference between those capexes was the extra costs of heat Exchangers.</text>
  </threadedComment>
  <threadedComment ref="B110" dT="2026-06-12T09:55:47.27" personId="{6AD477CE-F9B1-48D3-9307-EB1C81938E13}" id="{A5C75824-7668-4BF3-82C0-C56801295709}">
    <text>529 euro divided by 2888 bottles divided by 33 cl = 0,555 Euro/liter</text>
  </threadedComment>
  <threadedComment ref="B111" dT="2026-06-21T09:19:19.64" personId="{6AD477CE-F9B1-48D3-9307-EB1C81938E13}" id="{0E336836-8A8B-40E3-B5E6-343FC80641D7}">
    <text>We took this place to build the brewery. We needed a bigger one than the base model.</text>
  </threadedComment>
  <threadedComment ref="B112" dT="2026-06-10T10:14:42.58" personId="{6AD477CE-F9B1-48D3-9307-EB1C81938E13}" id="{66580D2B-8DA2-4DA1-B5D2-DAD73CB6B780}">
    <text>We thought this was appropiate, because the machines are made stainless steel. Besides that we need to have limit for the investment. If you do not earn enough money with beer in 20 years, the investment is not worth the effort.</text>
  </threadedComment>
  <threadedComment ref="B113" dT="2026-06-11T08:11:37.33" personId="{6AD477CE-F9B1-48D3-9307-EB1C81938E13}" id="{9D304627-678B-4042-99EF-5F030AD8CDAB}">
    <text>People directly from the brewery, because we are as start-up business.</text>
  </threadedComment>
  <threadedComment ref="B115" dT="2026-06-25T07:34:35.39" personId="{6AD477CE-F9B1-48D3-9307-EB1C81938E13}" id="{39B5803F-6C41-45B5-A363-F55A7E62E525}">
    <text>We took the same annual production, because the purpose is to see how the brewery would perform with less energy use for the same annual production.</text>
  </threadedComment>
  <threadedComment ref="B117" dT="2026-06-17T12:38:41.65" personId="{6AD477CE-F9B1-48D3-9307-EB1C81938E13}" id="{54CEAB08-56F9-4EBB-A9E2-08A05C5D779A}">
    <text>This is also the emission tax for the upcoming years.</text>
  </threadedComment>
  <threadedComment ref="B118" dT="2026-06-17T12:58:26.01" personId="{6AD477CE-F9B1-48D3-9307-EB1C81938E13}" id="{D3CECF5A-6485-43C7-83C2-60964818FDEF}">
    <text>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ext>
  </threadedComment>
  <threadedComment ref="B119" dT="2026-06-21T10:37:55.65" personId="{6AD477CE-F9B1-48D3-9307-EB1C81938E13}" id="{8891175B-280E-4A7B-8BAE-95D978B6C784}">
    <text>The costs becomes definetly lower of the CO2 because the brewery uses less energy.</text>
  </threadedComment>
  <threadedComment ref="B122" dT="2026-06-25T07:40:32.66" personId="{6AD477CE-F9B1-48D3-9307-EB1C81938E13}" id="{EA0C305C-C1A5-40F0-B331-CA2336E67A37}">
    <text>Amount of power x amount of hours x (energy price + tax) + transport rate + contract costs + refund</text>
  </threadedComment>
  <threadedComment ref="B123" dT="2026-06-12T10:02:03.99" personId="{6AD477CE-F9B1-48D3-9307-EB1C81938E13}" id="{DCDFF467-106B-4C5A-9DAC-4DA76930B2C2}">
    <text xml:space="preserve">See below </text>
  </threadedComment>
  <threadedComment ref="B131" dT="2026-06-12T12:29:16.15" personId="{6AD477CE-F9B1-48D3-9307-EB1C81938E13}" id="{C2D2DE5F-9A40-4A26-975F-83891C6CAEEC}">
    <text>We calculated the price/ Liter by using de net-revenue from Heineken and dividing it by the liters that Heineken sold. We chose Heineken because they upload their reports to the internet, and they are a well-known beer company.</text>
  </threadedComment>
  <threadedComment ref="B132" dT="2026-06-12T08:22:53.71" personId="{6AD477CE-F9B1-48D3-9307-EB1C81938E13}" id="{19869FB0-A04A-4A1A-8D91-1531EB6AFE31}">
    <text>Utilization factor applied for our brewery.</text>
  </threadedComment>
  <threadedComment ref="B133" dT="2026-06-12T11:14:11.20" personId="{6AD477CE-F9B1-48D3-9307-EB1C81938E13}" id="{4D100CE7-CF4B-43D1-AF8B-6B914496C428}">
    <text>Liter produced x price/liter of Heineken</text>
  </threadedComment>
  <threadedComment ref="B134" dT="2026-06-23T07:52:06.37" personId="{6AD477CE-F9B1-48D3-9307-EB1C81938E13}" id="{70851DCB-0CFB-46B1-807B-F9244EBF7C07}">
    <text>Large-scale breweries run at 92-100% efficiency. Our Brewery has maybe a lower factor, because it is a startup. That is why we chose 0,90.</text>
  </threadedComment>
  <threadedComment ref="B136" dT="2026-06-23T09:25:59.56" personId="{6AD477CE-F9B1-48D3-9307-EB1C81938E13}" id="{0E2FA394-02F1-454D-8E9E-6DDEFB3E5345}">
    <text xml:space="preserve">You need to add 38.000 euro if you have a profit above 200.000 euro. You need to be pay this besides the 26% corporate income tax. </text>
  </threadedComment>
  <threadedComment ref="B154" dT="2026-06-21T10:42:38.80" personId="{6AD477CE-F9B1-48D3-9307-EB1C81938E13}" id="{F18E7830-0A4B-4E94-9F14-762EC661D704}">
    <text>This is for corporate incomes above 200.000 euros. If it is below the tax changes, but if you calculate it with two examples of that than you also would get the same differences like this model.</text>
  </threadedComment>
</ThreadedComments>
</file>

<file path=xl/threadedComments/threadedComment3.xml><?xml version="1.0" encoding="utf-8"?>
<ThreadedComments xmlns="http://schemas.microsoft.com/office/spreadsheetml/2018/threadedcomments" xmlns:x="http://schemas.openxmlformats.org/spreadsheetml/2006/main">
  <threadedComment ref="A15" dT="2026-06-12T08:31:00.02" personId="{2D4DED1C-4171-4C1C-99D7-B5842046CB19}" id="{5A0D9170-1C28-459B-90EE-BE4B01DF94C7}">
    <text>Doen we hier uberhaupt iets mee of is dit eigenlijk niet echt nodig?</text>
  </threadedComment>
  <threadedComment ref="C15" dT="2026-06-10T12:17:19.43" personId="{6AD477CE-F9B1-48D3-9307-EB1C81938E13}" id="{0A52A130-3C2F-4186-921D-C231420DAD61}">
    <text>All the energy prices are an average of each month so these are not exact values. We took the ones of the most recent month: May 2026</text>
  </threadedComment>
  <threadedComment ref="C16" dT="2026-06-10T12:37:25.83" personId="{6AD477CE-F9B1-48D3-9307-EB1C81938E13}" id="{851BD5D8-B1E3-4D2A-B1BF-88BB969B413A}">
    <text>We do not know yet if we use the natural gas for our process. Maybe if we need heat exchangers, than we can use natural gas to heat up the process, but maybe not. I have wrote this down just to be sure.</text>
  </threadedComment>
  <threadedComment ref="B32" dT="2026-06-21T10:25:14.67" personId="{6AD477CE-F9B1-48D3-9307-EB1C81938E13}" id="{F43AAE68-977E-4C78-85F5-2CAA7C4B5E47}">
    <text>We made a model in Aspen without exchanger and contains only utilities. That value was about 16.768 kW in Aspen. According to our case we have 16.769,6 kW (sum of all the enthalpy). We rounded some numbers in Aspen and Aspen also round numbers. I think that we could use this model to find the capital cost and cost/year of our brewery.</text>
  </threadedComment>
  <threadedComment ref="A33" dT="2026-06-12T09:07:17.76" personId="{2D4DED1C-4171-4C1C-99D7-B5842046CB19}" id="{CE77C11E-EED8-4AB9-B1F9-B1671A894D82}">
    <text>Bedoelen jullie met Cleaner echt like een persoon ingehuurd of die cleaning sets?</text>
  </threadedComment>
  <threadedComment ref="A33" dT="2026-06-12T09:07:41.30" personId="{6AD477CE-F9B1-48D3-9307-EB1C81938E13}" id="{93146A25-F2FD-4FDB-AA6B-9FDFCF46EA01}" parentId="{CE77C11E-EED8-4AB9-B1F9-B1671A894D82}">
    <text>Een persoon ingehuurd</text>
  </threadedComment>
  <threadedComment ref="B33" dT="2026-06-12T09:09:46.86" personId="{6AD477CE-F9B1-48D3-9307-EB1C81938E13}" id="{337BBB4F-10AA-4FA2-B8E2-4EA94459AB53}">
    <text>We hire three person to clean for 18 euro’s/ hour. They work for 8 hours once a month. That is how calculated this value.</text>
  </threadedComment>
  <threadedComment ref="B34" dT="2026-06-12T09:55:47.27" personId="{6AD477CE-F9B1-48D3-9307-EB1C81938E13}" id="{8964895A-4D9E-430E-8DC8-F9149A84FA96}">
    <text>529 euro divided by 2888 bottles divided by 33 cl = 0,555 Euro/liter</text>
  </threadedComment>
  <threadedComment ref="B35" dT="2026-06-21T09:19:19.64" personId="{6AD477CE-F9B1-48D3-9307-EB1C81938E13}" id="{0909AA31-D585-401B-B114-1CF8890E1583}">
    <text>We took this place to build the brewery. We needed a bigger one than the base model.</text>
  </threadedComment>
  <threadedComment ref="B36" dT="2026-06-10T10:14:42.58" personId="{6AD477CE-F9B1-48D3-9307-EB1C81938E13}" id="{081236E6-CCE8-48B2-A578-126E8F002E87}">
    <text>We thought this was appropiate, because the machines are made stainless steel. Besides that we need to have limit for the investment. If you do not earn enough money with beer in 20 years, the investment is not worth the effort.</text>
  </threadedComment>
  <threadedComment ref="B37" dT="2026-06-11T08:11:37.33" personId="{6AD477CE-F9B1-48D3-9307-EB1C81938E13}" id="{B3F36A9D-1D75-466C-862A-24CB35D552BA}">
    <text>People directly from the brewery, because we are as start-up business.</text>
  </threadedComment>
  <threadedComment ref="I39" dT="2026-06-11T14:01:46.73" personId="{D273D383-77AE-4876-A169-1A6148EF9DF4}" id="{D4599F00-4600-4CC6-BB78-B0AA1DCEB7B2}">
    <text>Max amount in a year for this machine</text>
  </threadedComment>
  <threadedComment ref="B41" dT="2026-06-17T12:38:41.65" personId="{6AD477CE-F9B1-48D3-9307-EB1C81938E13}" id="{07199CE5-965E-4B6D-8D5D-D6ADCBC21218}">
    <text>This is also the emission tax for the upcoming years.</text>
  </threadedComment>
  <threadedComment ref="B42" dT="2026-06-17T12:58:26.01" personId="{6AD477CE-F9B1-48D3-9307-EB1C81938E13}" id="{D60FC1B1-EAEB-4C1C-B997-40EF71085E5B}">
    <text>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ext>
  </threadedComment>
  <threadedComment ref="B46" dT="2026-06-11T14:03:41.08" personId="{D273D383-77AE-4876-A169-1A6148EF9DF4}" id="{71A40427-1134-41DC-83F8-6B0F1E042D56}">
    <text>80kW machine, running nonstop and price netherlands energy</text>
  </threadedComment>
  <threadedComment ref="B46" dT="2026-06-12T09:58:31.22" personId="{6AD477CE-F9B1-48D3-9307-EB1C81938E13}" id="{21D6C0EE-8D58-41CE-B091-5679E6C54887}" parentId="{71A40427-1134-41DC-83F8-6B0F1E042D56}">
    <text>Minus the 12 days/year for cleaning the machine. The machine does not work non-stop but over a year we assume a continuous process.</text>
  </threadedComment>
  <threadedComment ref="B47" dT="2026-06-12T10:02:03.99" personId="{6AD477CE-F9B1-48D3-9307-EB1C81938E13}" id="{9F70F97A-3C5B-45D9-9686-B8292DF5F9F5}">
    <text xml:space="preserve">See below </text>
  </threadedComment>
  <threadedComment ref="B48" dT="2026-06-12T10:03:25.98" personId="{6AD477CE-F9B1-48D3-9307-EB1C81938E13}" id="{97A2A7C7-7A92-4FD3-AFF7-607C20F889CE}">
    <text>Rent/ year + cleaning cost</text>
  </threadedComment>
  <threadedComment ref="B55" dT="2026-06-12T12:29:16.15" personId="{6AD477CE-F9B1-48D3-9307-EB1C81938E13}" id="{575697CE-D755-485B-AC1D-DC61F7912034}">
    <text>We calculated the price/ Liter by using de net-revenue from Heineken and dividing it by the liters that Heineken sold. We chose Heineken because they upload their reports to the internet, and they are a well-known beer company.</text>
  </threadedComment>
  <threadedComment ref="B56" dT="2026-06-12T08:22:53.71" personId="{6AD477CE-F9B1-48D3-9307-EB1C81938E13}" id="{6A143668-9B2F-4649-99C7-373CF4C33BBA}">
    <text xml:space="preserve">Not all the beer that we produce is sold. We think that we sell 93%, because we do not think that the group of 18-25 years will drink much in the future. </text>
  </threadedComment>
  <threadedComment ref="B57" dT="2026-06-12T11:14:11.20" personId="{6AD477CE-F9B1-48D3-9307-EB1C81938E13}" id="{6D26F19D-0118-4021-8C5A-FDF232B1E7B1}">
    <text>Liter produced x price/liter of Heineken</text>
  </threadedComment>
  <threadedComment ref="B58" dT="2026-06-11T09:22:50.13" personId="{D273D383-77AE-4876-A169-1A6148EF9DF4}" id="{7E2D0DD9-0167-4992-8817-20D293DD045C}">
    <text xml:space="preserve">0.78 genomen, omdat we medium size zijn. Small-scale zit rond 0.72 en large-scale rond .90 of hoger. </text>
  </threadedComment>
  <threadedComment ref="B58" dT="2026-06-12T11:14:53.42" personId="{6AD477CE-F9B1-48D3-9307-EB1C81938E13}" id="{9C54E140-95F0-4774-AD32-7A73E0709D96}" parentId="{7E2D0DD9-0167-4992-8817-20D293DD045C}">
    <text xml:space="preserve">We took 0.78 because we are medium-sized. Small-scale is around 0.72 and large-scale around 0.90 or higher. </text>
  </threadedComment>
  <threadedComment ref="A91" dT="2026-06-12T08:31:00.02" personId="{2D4DED1C-4171-4C1C-99D7-B5842046CB19}" id="{CC71E10E-A7AB-418E-A85F-FFE1B6BDD661}">
    <text>Doen we hier uberhaupt iets mee of is dit eigenlijk niet echt nodig?</text>
  </threadedComment>
  <threadedComment ref="C91" dT="2026-06-10T12:17:19.43" personId="{6AD477CE-F9B1-48D3-9307-EB1C81938E13}" id="{BE3FE4DB-B6B2-409F-9835-656238A79A3A}">
    <text>All the energy prices are an average of each month so these are not exact values. We took the ones of the most recent month: May 2026</text>
  </threadedComment>
  <threadedComment ref="C92" dT="2026-06-10T12:37:25.83" personId="{6AD477CE-F9B1-48D3-9307-EB1C81938E13}" id="{E2805DC8-327E-4667-A2B1-6EA13C4864F1}">
    <text>We do not know yet if we use the natural gas for our process. Maybe if we need heat exchangers, than we can use natural gas to heat up the process, but maybe not. I have wrote this down just to be sure.</text>
  </threadedComment>
  <threadedComment ref="B108" dT="2026-06-21T10:24:53.42" personId="{6AD477CE-F9B1-48D3-9307-EB1C81938E13}" id="{E9D762B9-D0EE-4169-B33B-D2961DE65412}">
    <text>This is the energy for the hot and cold utilities combined. We took this from the most optimal design from Aspen Energy analyzer.</text>
  </threadedComment>
  <threadedComment ref="A109" dT="2026-06-12T09:07:17.76" personId="{2D4DED1C-4171-4C1C-99D7-B5842046CB19}" id="{F57EBE12-4CF1-4B53-BF48-A8498EA75D6A}">
    <text>Bedoelen jullie met Cleaner echt like een persoon ingehuurd of die cleaning sets?</text>
  </threadedComment>
  <threadedComment ref="A109" dT="2026-06-12T09:07:41.30" personId="{6AD477CE-F9B1-48D3-9307-EB1C81938E13}" id="{30CB3BA5-0AB2-46A9-82CC-01C7533FF47D}" parentId="{F57EBE12-4CF1-4B53-BF48-A8498EA75D6A}">
    <text>Een persoon ingehuurd</text>
  </threadedComment>
  <threadedComment ref="B109" dT="2026-06-12T09:09:46.86" personId="{6AD477CE-F9B1-48D3-9307-EB1C81938E13}" id="{F8AA9865-4D2A-4A49-92AC-1FA31E6C75E3}">
    <text>We hire three person to clean for 18 euro’s/ hour. They work for 8 hours once a month. That is how calculated this value.</text>
  </threadedComment>
  <threadedComment ref="B110" dT="2026-06-12T09:55:47.27" personId="{6AD477CE-F9B1-48D3-9307-EB1C81938E13}" id="{36651374-3D3F-4108-A977-0718A7CD93A3}">
    <text>529 euro divided by 2888 bottles divided by 33 cl = 0,555 Euro/liter</text>
  </threadedComment>
  <threadedComment ref="B111" dT="2026-06-21T09:19:19.64" personId="{6AD477CE-F9B1-48D3-9307-EB1C81938E13}" id="{EE6E9D52-E2AF-4BC5-9D7E-706D2287BBC9}">
    <text>We took this place to build the brewery. We needed a bigger one than the base model.</text>
  </threadedComment>
  <threadedComment ref="B112" dT="2026-06-10T10:14:42.58" personId="{6AD477CE-F9B1-48D3-9307-EB1C81938E13}" id="{D9674F4F-6FD7-4654-8029-3E7634CDD6E2}">
    <text>We thought this was appropiate, because the machines are made stainless steel. Besides that we need to have limit for the investment. If you do not earn enough money with beer in 20 years, the investment is not worth the effort.</text>
  </threadedComment>
  <threadedComment ref="B113" dT="2026-06-11T08:11:37.33" personId="{6AD477CE-F9B1-48D3-9307-EB1C81938E13}" id="{BEE271CC-3C01-40AC-8C54-FFBF1AAF5CBC}">
    <text>People directly from the brewery, because we are as start-up business.</text>
  </threadedComment>
  <threadedComment ref="I115" dT="2026-06-11T14:01:46.73" personId="{D273D383-77AE-4876-A169-1A6148EF9DF4}" id="{A59DD4FF-22F6-4BC9-B1CE-4D209744863E}">
    <text>Max amount in a year for this machine</text>
  </threadedComment>
  <threadedComment ref="B117" dT="2026-06-17T12:38:41.65" personId="{6AD477CE-F9B1-48D3-9307-EB1C81938E13}" id="{C89F3158-318D-4769-9BD2-D68A84C6B400}">
    <text>This is also the emission tax for the upcoming years.</text>
  </threadedComment>
  <threadedComment ref="B118" dT="2026-06-17T12:58:26.01" personId="{6AD477CE-F9B1-48D3-9307-EB1C81938E13}" id="{206DF150-0117-4EBB-99E5-BBB9A755C8F7}">
    <text>We found this data after the feedback of our mentor. We took this value, because this brewery is going to use electricity of the national electricitynetwork. This value is taken form 2026. On the website you can also see that the emission decreases over the years. But we took a consistent value for the calculations.</text>
  </threadedComment>
  <threadedComment ref="B119" dT="2026-06-21T10:39:20.87" personId="{6AD477CE-F9B1-48D3-9307-EB1C81938E13}" id="{7AA37DCD-04E5-4764-ACD1-0B710F9B7721}">
    <text xml:space="preserve">The costs becomes definetly lower of the CO2 because the brewery uses less energy. This has a lot of impact. If you use the same amount of CO2 as the model without heat exchangers. You would earn like 2 million after 20 years instead of 7 million. You can check it if you want.
</text>
  </threadedComment>
  <threadedComment ref="B122" dT="2026-06-11T14:03:41.08" personId="{D273D383-77AE-4876-A169-1A6148EF9DF4}" id="{3EB3E60A-D990-4DC7-888A-D1201243DF99}">
    <text>80kW machine, running nonstop and price netherlands energy</text>
  </threadedComment>
  <threadedComment ref="B122" dT="2026-06-12T09:58:31.22" personId="{6AD477CE-F9B1-48D3-9307-EB1C81938E13}" id="{CB8E9ABC-61E0-4228-9803-2DDD69E6C60E}" parentId="{3EB3E60A-D990-4DC7-888A-D1201243DF99}">
    <text>Minus the 12 days/year for cleaning the machine. The machine does not work non-stop but over a year we assume a continuous process.</text>
  </threadedComment>
  <threadedComment ref="B123" dT="2026-06-12T10:02:03.99" personId="{6AD477CE-F9B1-48D3-9307-EB1C81938E13}" id="{65548BD5-4E45-44B6-8EC0-11F541196901}">
    <text xml:space="preserve">See below </text>
  </threadedComment>
  <threadedComment ref="B131" dT="2026-06-12T12:29:16.15" personId="{6AD477CE-F9B1-48D3-9307-EB1C81938E13}" id="{B15523CC-850E-4B7F-942D-3E5D8EEB1833}">
    <text>We calculated the price/ Liter by using de net-revenue from Heineken and dividing it by the liters that Heineken sold. We chose Heineken because they upload their reports to the internet, and they are a well-known beer company.</text>
  </threadedComment>
  <threadedComment ref="B132" dT="2026-06-12T08:22:53.71" personId="{6AD477CE-F9B1-48D3-9307-EB1C81938E13}" id="{0EBC2D00-FF05-45B1-A405-C82B4E498841}">
    <text xml:space="preserve">Not all the beer that we produce is sold. We think that we sell 93%, because we do not think that the group of 18-25 years will drink much in the future. </text>
  </threadedComment>
  <threadedComment ref="B133" dT="2026-06-12T11:14:11.20" personId="{6AD477CE-F9B1-48D3-9307-EB1C81938E13}" id="{581F4518-A97B-4D65-8BEB-45EB15629F64}">
    <text>Liter produced x price/liter of Heineken</text>
  </threadedComment>
  <threadedComment ref="B134" dT="2026-06-11T09:22:50.13" personId="{D273D383-77AE-4876-A169-1A6148EF9DF4}" id="{175BA66D-F146-4021-86D1-55710B772F4F}">
    <text xml:space="preserve">0.78 genomen, omdat we medium size zijn. Small-scale zit rond 0.72 en large-scale rond .90 of hoger. </text>
  </threadedComment>
  <threadedComment ref="B134" dT="2026-06-12T11:14:53.42" personId="{6AD477CE-F9B1-48D3-9307-EB1C81938E13}" id="{6FB21E58-9917-45D7-8559-478584DA7789}" parentId="{175BA66D-F146-4021-86D1-55710B772F4F}">
    <text xml:space="preserve">We took 0.78 because we are medium-sized. Small-scale is around 0.72 and large-scale around 0.90 or higher. </text>
  </threadedComment>
  <threadedComment ref="B154" dT="2026-06-21T10:42:25.35" personId="{6AD477CE-F9B1-48D3-9307-EB1C81938E13}" id="{64C96D82-3B7B-4CE0-B583-4F91F00B4AF3}">
    <text>This is for corporate incomes above 200.000 euros. If it is below the tax changes, but if you calculate it with two examples of that than you also would get the same differences like this model.</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thehomebrewcompany.co.uk/best-pilsen-malt-25kg-whole-bestmalz-35-ebc-p-3029.html?cPath=69_232_233" TargetMode="External"/><Relationship Id="rId18" Type="http://schemas.openxmlformats.org/officeDocument/2006/relationships/hyperlink" Target="https://beersmith.com/blog/2014/11/05/brewhouse-efficiency-vs-mash-efficiency-in-all-grain-beer-brewing/" TargetMode="External"/><Relationship Id="rId26" Type="http://schemas.openxmlformats.org/officeDocument/2006/relationships/hyperlink" Target="https://www.brewersfriend.com/homebrew/recipe/view/391142/08052019-lager" TargetMode="External"/><Relationship Id="rId3" Type="http://schemas.openxmlformats.org/officeDocument/2006/relationships/hyperlink" Target="https://www.dunea.nl/klantenservice/tarieven" TargetMode="External"/><Relationship Id="rId21" Type="http://schemas.openxmlformats.org/officeDocument/2006/relationships/hyperlink" Target="https://www.alibaba.com/product-detail/10000L-beer-making-machine_62026361346.html" TargetMode="External"/><Relationship Id="rId34" Type="http://schemas.microsoft.com/office/2017/10/relationships/threadedComment" Target="../threadedComments/threadedComment1.xml"/><Relationship Id="rId7" Type="http://schemas.openxmlformats.org/officeDocument/2006/relationships/hyperlink" Target="https://www.government.nl/themes/taxes-benefits-and-allowances/taxation-and-businesses/corporation-tax" TargetMode="External"/><Relationship Id="rId12" Type="http://schemas.openxmlformats.org/officeDocument/2006/relationships/hyperlink" Target="https://pages.stern.nyu.edu/~adamodar/New_Home_Page/datafile/BetasGlobal.html" TargetMode="External"/><Relationship Id="rId17" Type="http://schemas.openxmlformats.org/officeDocument/2006/relationships/hyperlink" Target="https://www.bvresources.com/articles/bvwire/kroll-reaffirms-us-erp-at-50-and-lowers-eurozone" TargetMode="External"/><Relationship Id="rId25" Type="http://schemas.openxmlformats.org/officeDocument/2006/relationships/hyperlink" Target="https://www.alibaba.com/product-detail/10000L-beer-making-machine_62026361346.html" TargetMode="External"/><Relationship Id="rId33" Type="http://schemas.openxmlformats.org/officeDocument/2006/relationships/comments" Target="../comments1.xml"/><Relationship Id="rId2" Type="http://schemas.openxmlformats.org/officeDocument/2006/relationships/hyperlink" Target="https://www.dunea.nl/klantenservice/tarieven" TargetMode="External"/><Relationship Id="rId16" Type="http://schemas.openxmlformats.org/officeDocument/2006/relationships/hyperlink" Target="https://www.scribd.com/document/260641162/Wolfgang-Kunze-Technology-Brewing-and-Malting" TargetMode="External"/><Relationship Id="rId20" Type="http://schemas.openxmlformats.org/officeDocument/2006/relationships/hyperlink" Target="https://www.theheinekencompany.com/sites/heineken-corp/files/2026-02/heineken-nv-2025-full-year-results.pdf" TargetMode="External"/><Relationship Id="rId29" Type="http://schemas.openxmlformats.org/officeDocument/2006/relationships/hyperlink" Target="https://open.overheid.nl/documenten/7bcffc44-7296-4d9b-aa96-1fe168a1168d/file" TargetMode="External"/><Relationship Id="rId1" Type="http://schemas.openxmlformats.org/officeDocument/2006/relationships/hyperlink" Target="https://www.cbs.nl/nl-nl/visualisaties/dashboard-economie/inflatie" TargetMode="External"/><Relationship Id="rId6" Type="http://schemas.openxmlformats.org/officeDocument/2006/relationships/hyperlink" Target="https://www.cbs.nl/en-gb/figures/detail/85592ENG" TargetMode="External"/><Relationship Id="rId11" Type="http://schemas.openxmlformats.org/officeDocument/2006/relationships/hyperlink" Target="https://www.rabobank.nl/bedrijven/zakelijk-financieren/bereken-indicatie" TargetMode="External"/><Relationship Id="rId24" Type="http://schemas.openxmlformats.org/officeDocument/2006/relationships/hyperlink" Target="https://business.gov.nl/amendments/minimum-wage-up-january-2026/" TargetMode="External"/><Relationship Id="rId32" Type="http://schemas.openxmlformats.org/officeDocument/2006/relationships/vmlDrawing" Target="../drawings/vmlDrawing1.vml"/><Relationship Id="rId5" Type="http://schemas.openxmlformats.org/officeDocument/2006/relationships/hyperlink" Target="https://www.dunea.nl/klantenservice/tarieven" TargetMode="External"/><Relationship Id="rId15" Type="http://schemas.openxmlformats.org/officeDocument/2006/relationships/hyperlink" Target="https://www.fundainbusiness.nl/bedrijfshal/delft/object-43334560-einsteinweg-4/" TargetMode="External"/><Relationship Id="rId23" Type="http://schemas.openxmlformats.org/officeDocument/2006/relationships/hyperlink" Target="https://time.com/7203140/gen-z-drinking-less-alcohol/" TargetMode="External"/><Relationship Id="rId28" Type="http://schemas.openxmlformats.org/officeDocument/2006/relationships/hyperlink" Target="https://www.emissieautoriteit.nl/regelgeving/co2-heffing/tarieven-co2-heffing" TargetMode="External"/><Relationship Id="rId10" Type="http://schemas.openxmlformats.org/officeDocument/2006/relationships/hyperlink" Target="https://www.brouwmout.nl/product/fermentis-safbrew-w-3470/" TargetMode="External"/><Relationship Id="rId19" Type="http://schemas.openxmlformats.org/officeDocument/2006/relationships/hyperlink" Target="https://www.theheinekencompany.com/sites/heineken-corp/files/2026-02/heineken-nv-2025-full-year-results.pdf" TargetMode="External"/><Relationship Id="rId31" Type="http://schemas.openxmlformats.org/officeDocument/2006/relationships/hyperlink" Target="https://co2emissiefactoren.nl/factoren/2026/11/52/elektriciteit-stroom-onbekend-gridmix/" TargetMode="External"/><Relationship Id="rId4" Type="http://schemas.openxmlformats.org/officeDocument/2006/relationships/hyperlink" Target="https://www.dunea.nl/klantenservice/tarieven" TargetMode="External"/><Relationship Id="rId9" Type="http://schemas.openxmlformats.org/officeDocument/2006/relationships/hyperlink" Target="https://maltmagnus.se/en/en/ingredients/hops/hops-bulk/akoya-pellets-2024/" TargetMode="External"/><Relationship Id="rId14" Type="http://schemas.openxmlformats.org/officeDocument/2006/relationships/hyperlink" Target="https://www.cbs.nl/en-gb/figures/detail/85592ENG" TargetMode="External"/><Relationship Id="rId22" Type="http://schemas.openxmlformats.org/officeDocument/2006/relationships/hyperlink" Target="https://www.alibaba.com/product-detail/10000L-beer-making-machine_62026361346.html" TargetMode="External"/><Relationship Id="rId27" Type="http://schemas.openxmlformats.org/officeDocument/2006/relationships/hyperlink" Target="https://brouwland.com/nl/flessen/19659-bierfles-vichy-33-cl-pallet-2888-st.html" TargetMode="External"/><Relationship Id="rId30" Type="http://schemas.openxmlformats.org/officeDocument/2006/relationships/hyperlink" Target="https://co2emissiefactoren.nl/factoren/2026/11/elektriciteit/" TargetMode="External"/><Relationship Id="rId8" Type="http://schemas.openxmlformats.org/officeDocument/2006/relationships/hyperlink" Target="https://www.government.nl/themes/taxes-benefits-and-allowances/taxation-and-businesses/corporation-ta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thehomebrewcompany.co.uk/best-pilsen-malt-25kg-whole-bestmalz-35-ebc-p-3029.html?cPath=69_232_233" TargetMode="External"/><Relationship Id="rId18" Type="http://schemas.openxmlformats.org/officeDocument/2006/relationships/hyperlink" Target="https://www.theheinekencompany.com/sites/heineken-corp/files/2026-02/heineken-nv-2025-full-year-results.pdf" TargetMode="External"/><Relationship Id="rId26" Type="http://schemas.openxmlformats.org/officeDocument/2006/relationships/hyperlink" Target="https://co2emissiefactoren.nl/factoren/2026/11/52/elektriciteit-stroom-onbekend-gridmix/" TargetMode="External"/><Relationship Id="rId39" Type="http://schemas.openxmlformats.org/officeDocument/2006/relationships/hyperlink" Target="https://www.thehomebrewcompany.co.uk/best-pilsen-malt-25kg-whole-bestmalz-35-ebc-p-3029.html?cPath=69_232_233" TargetMode="External"/><Relationship Id="rId21" Type="http://schemas.openxmlformats.org/officeDocument/2006/relationships/hyperlink" Target="https://www.brewersfriend.com/homebrew/recipe/view/391142/08052019-lager" TargetMode="External"/><Relationship Id="rId34" Type="http://schemas.openxmlformats.org/officeDocument/2006/relationships/hyperlink" Target="https://www.government.nl/themes/taxes-benefits-and-allowances/taxation-and-businesses/corporation-tax" TargetMode="External"/><Relationship Id="rId42" Type="http://schemas.openxmlformats.org/officeDocument/2006/relationships/hyperlink" Target="https://beersmith.com/blog/2014/11/05/brewhouse-efficiency-vs-mash-efficiency-in-all-grain-beer-brewing/" TargetMode="External"/><Relationship Id="rId47" Type="http://schemas.openxmlformats.org/officeDocument/2006/relationships/hyperlink" Target="https://brouwland.com/nl/flessen/19659-bierfles-vichy-33-cl-pallet-2888-st.html" TargetMode="External"/><Relationship Id="rId50" Type="http://schemas.openxmlformats.org/officeDocument/2006/relationships/hyperlink" Target="https://co2emissiefactoren.nl/factoren/2026/11/elektriciteit/" TargetMode="External"/><Relationship Id="rId55" Type="http://schemas.openxmlformats.org/officeDocument/2006/relationships/hyperlink" Target="https://www.engineeringtoolbox.com/water-thermal-properties--d_162.html" TargetMode="External"/><Relationship Id="rId7" Type="http://schemas.openxmlformats.org/officeDocument/2006/relationships/hyperlink" Target="https://www.government.nl/themes/taxes-benefits-and-allowances/taxation-and-businesses/corporation-tax" TargetMode="External"/><Relationship Id="rId2" Type="http://schemas.openxmlformats.org/officeDocument/2006/relationships/hyperlink" Target="https://www.dunea.nl/klantenservice/tarieven" TargetMode="External"/><Relationship Id="rId16" Type="http://schemas.openxmlformats.org/officeDocument/2006/relationships/hyperlink" Target="https://theswaen.com/improving-brewhouse-efficiency-for-craft-brewers/" TargetMode="External"/><Relationship Id="rId29" Type="http://schemas.openxmlformats.org/officeDocument/2006/relationships/hyperlink" Target="https://www.dunea.nl/klantenservice/tarieven" TargetMode="External"/><Relationship Id="rId11" Type="http://schemas.openxmlformats.org/officeDocument/2006/relationships/hyperlink" Target="https://www.rabobank.nl/bedrijven/zakelijk-financieren/bereken-indicatie" TargetMode="External"/><Relationship Id="rId24" Type="http://schemas.openxmlformats.org/officeDocument/2006/relationships/hyperlink" Target="https://open.overheid.nl/documenten/7bcffc44-7296-4d9b-aa96-1fe168a1168d/file" TargetMode="External"/><Relationship Id="rId32" Type="http://schemas.openxmlformats.org/officeDocument/2006/relationships/hyperlink" Target="https://www.cbs.nl/en-gb/figures/detail/85592ENG" TargetMode="External"/><Relationship Id="rId37" Type="http://schemas.openxmlformats.org/officeDocument/2006/relationships/hyperlink" Target="https://www.rabobank.nl/bedrijven/zakelijk-financieren/bereken-indicatie" TargetMode="External"/><Relationship Id="rId40" Type="http://schemas.openxmlformats.org/officeDocument/2006/relationships/hyperlink" Target="https://www.cbs.nl/en-gb/figures/detail/85592ENG" TargetMode="External"/><Relationship Id="rId45" Type="http://schemas.openxmlformats.org/officeDocument/2006/relationships/hyperlink" Target="https://time.com/7203140/gen-z-drinking-less-alcohol/" TargetMode="External"/><Relationship Id="rId53" Type="http://schemas.openxmlformats.org/officeDocument/2006/relationships/hyperlink" Target="https://www.engineeringtoolbox.com/ethanol-ethyl-alcohol-properties-C2H6O-d_2027.html" TargetMode="External"/><Relationship Id="rId58" Type="http://schemas.microsoft.com/office/2017/10/relationships/threadedComment" Target="../threadedComments/threadedComment2.xml"/><Relationship Id="rId5" Type="http://schemas.openxmlformats.org/officeDocument/2006/relationships/hyperlink" Target="https://www.dunea.nl/klantenservice/tarieven" TargetMode="External"/><Relationship Id="rId19" Type="http://schemas.openxmlformats.org/officeDocument/2006/relationships/hyperlink" Target="https://time.com/7203140/gen-z-drinking-less-alcohol/" TargetMode="External"/><Relationship Id="rId4" Type="http://schemas.openxmlformats.org/officeDocument/2006/relationships/hyperlink" Target="https://www.dunea.nl/klantenservice/tarieven" TargetMode="External"/><Relationship Id="rId9" Type="http://schemas.openxmlformats.org/officeDocument/2006/relationships/hyperlink" Target="https://maltmagnus.se/en/en/ingredients/hops/hops-bulk/akoya-pellets-2024/" TargetMode="External"/><Relationship Id="rId14" Type="http://schemas.openxmlformats.org/officeDocument/2006/relationships/hyperlink" Target="https://www.cbs.nl/en-gb/figures/detail/85592ENG" TargetMode="External"/><Relationship Id="rId22" Type="http://schemas.openxmlformats.org/officeDocument/2006/relationships/hyperlink" Target="https://brouwland.com/nl/flessen/19659-bierfles-vichy-33-cl-pallet-2888-st.html" TargetMode="External"/><Relationship Id="rId27" Type="http://schemas.openxmlformats.org/officeDocument/2006/relationships/hyperlink" Target="https://www.cbs.nl/nl-nl/visualisaties/dashboard-economie/inflatie" TargetMode="External"/><Relationship Id="rId30" Type="http://schemas.openxmlformats.org/officeDocument/2006/relationships/hyperlink" Target="https://www.dunea.nl/klantenservice/tarieven" TargetMode="External"/><Relationship Id="rId35" Type="http://schemas.openxmlformats.org/officeDocument/2006/relationships/hyperlink" Target="https://maltmagnus.se/en/en/ingredients/hops/hops-bulk/akoya-pellets-2024/" TargetMode="External"/><Relationship Id="rId43" Type="http://schemas.openxmlformats.org/officeDocument/2006/relationships/hyperlink" Target="https://www.theheinekencompany.com/sites/heineken-corp/files/2026-02/heineken-nv-2025-full-year-results.pdf" TargetMode="External"/><Relationship Id="rId48" Type="http://schemas.openxmlformats.org/officeDocument/2006/relationships/hyperlink" Target="https://www.emissieautoriteit.nl/regelgeving/co2-heffing/tarieven-co2-heffing" TargetMode="External"/><Relationship Id="rId56" Type="http://schemas.openxmlformats.org/officeDocument/2006/relationships/vmlDrawing" Target="../drawings/vmlDrawing2.vml"/><Relationship Id="rId8" Type="http://schemas.openxmlformats.org/officeDocument/2006/relationships/hyperlink" Target="https://www.government.nl/themes/taxes-benefits-and-allowances/taxation-and-businesses/corporation-tax" TargetMode="External"/><Relationship Id="rId51" Type="http://schemas.openxmlformats.org/officeDocument/2006/relationships/hyperlink" Target="https://co2emissiefactoren.nl/factoren/2026/11/52/elektriciteit-stroom-onbekend-gridmix/" TargetMode="External"/><Relationship Id="rId3" Type="http://schemas.openxmlformats.org/officeDocument/2006/relationships/hyperlink" Target="https://www.dunea.nl/klantenservice/tarieven" TargetMode="External"/><Relationship Id="rId12" Type="http://schemas.openxmlformats.org/officeDocument/2006/relationships/hyperlink" Target="https://pages.stern.nyu.edu/~adamodar/New_Home_Page/datafile/BetasGlobal.html" TargetMode="External"/><Relationship Id="rId17" Type="http://schemas.openxmlformats.org/officeDocument/2006/relationships/hyperlink" Target="https://www.theheinekencompany.com/sites/heineken-corp/files/2026-02/heineken-nv-2025-full-year-results.pdf" TargetMode="External"/><Relationship Id="rId25" Type="http://schemas.openxmlformats.org/officeDocument/2006/relationships/hyperlink" Target="https://co2emissiefactoren.nl/factoren/2026/11/elektriciteit/" TargetMode="External"/><Relationship Id="rId33" Type="http://schemas.openxmlformats.org/officeDocument/2006/relationships/hyperlink" Target="https://www.government.nl/themes/taxes-benefits-and-allowances/taxation-and-businesses/corporation-tax" TargetMode="External"/><Relationship Id="rId38" Type="http://schemas.openxmlformats.org/officeDocument/2006/relationships/hyperlink" Target="https://pages.stern.nyu.edu/~adamodar/New_Home_Page/datafile/BetasGlobal.html" TargetMode="External"/><Relationship Id="rId46" Type="http://schemas.openxmlformats.org/officeDocument/2006/relationships/hyperlink" Target="https://www.brewersfriend.com/homebrew/recipe/view/391142/08052019-lager" TargetMode="External"/><Relationship Id="rId20" Type="http://schemas.openxmlformats.org/officeDocument/2006/relationships/hyperlink" Target="https://www.alibaba.com/product-detail/10000L-beer-making-machine_62026361346.html" TargetMode="External"/><Relationship Id="rId41" Type="http://schemas.openxmlformats.org/officeDocument/2006/relationships/hyperlink" Target="https://www.bvresources.com/articles/bvwire/kroll-reaffirms-us-erp-at-50-and-lowers-eurozone" TargetMode="External"/><Relationship Id="rId54" Type="http://schemas.openxmlformats.org/officeDocument/2006/relationships/hyperlink" Target="https://www.engineeringtoolbox.com/ethanol-ethyl-alcohol-properties-C2H6O-d_2027.html" TargetMode="External"/><Relationship Id="rId1" Type="http://schemas.openxmlformats.org/officeDocument/2006/relationships/hyperlink" Target="https://www.cbs.nl/nl-nl/visualisaties/dashboard-economie/inflatie" TargetMode="External"/><Relationship Id="rId6" Type="http://schemas.openxmlformats.org/officeDocument/2006/relationships/hyperlink" Target="https://www.cbs.nl/en-gb/figures/detail/85592ENG" TargetMode="External"/><Relationship Id="rId15" Type="http://schemas.openxmlformats.org/officeDocument/2006/relationships/hyperlink" Target="https://www.bvresources.com/articles/bvwire/kroll-reaffirms-us-erp-at-50-and-lowers-eurozone" TargetMode="External"/><Relationship Id="rId23" Type="http://schemas.openxmlformats.org/officeDocument/2006/relationships/hyperlink" Target="https://www.emissieautoriteit.nl/regelgeving/co2-heffing/tarieven-co2-heffing" TargetMode="External"/><Relationship Id="rId28" Type="http://schemas.openxmlformats.org/officeDocument/2006/relationships/hyperlink" Target="https://www.dunea.nl/klantenservice/tarieven" TargetMode="External"/><Relationship Id="rId36" Type="http://schemas.openxmlformats.org/officeDocument/2006/relationships/hyperlink" Target="https://www.brouwmout.nl/product/fermentis-safbrew-w-3470/" TargetMode="External"/><Relationship Id="rId49" Type="http://schemas.openxmlformats.org/officeDocument/2006/relationships/hyperlink" Target="https://open.overheid.nl/documenten/7bcffc44-7296-4d9b-aa96-1fe168a1168d/file" TargetMode="External"/><Relationship Id="rId57" Type="http://schemas.openxmlformats.org/officeDocument/2006/relationships/comments" Target="../comments2.xml"/><Relationship Id="rId10" Type="http://schemas.openxmlformats.org/officeDocument/2006/relationships/hyperlink" Target="https://www.brouwmout.nl/product/fermentis-safbrew-w-3470/" TargetMode="External"/><Relationship Id="rId31" Type="http://schemas.openxmlformats.org/officeDocument/2006/relationships/hyperlink" Target="https://www.dunea.nl/klantenservice/tarieven" TargetMode="External"/><Relationship Id="rId44" Type="http://schemas.openxmlformats.org/officeDocument/2006/relationships/hyperlink" Target="https://www.theheinekencompany.com/sites/heineken-corp/files/2026-02/heineken-nv-2025-full-year-results.pdf" TargetMode="External"/><Relationship Id="rId52" Type="http://schemas.openxmlformats.org/officeDocument/2006/relationships/hyperlink" Target="https://www.engineeringtoolbox.com/water-thermal-properties--d_162.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brewersfriend.com/homebrew/recipe/view/391142/08052019-lager" TargetMode="External"/><Relationship Id="rId21" Type="http://schemas.openxmlformats.org/officeDocument/2006/relationships/hyperlink" Target="https://www.alibaba.com/product-detail/10000L-beer-making-machine_62026361346.html" TargetMode="External"/><Relationship Id="rId34" Type="http://schemas.openxmlformats.org/officeDocument/2006/relationships/hyperlink" Target="https://www.dunea.nl/klantenservice/tarieven" TargetMode="External"/><Relationship Id="rId42" Type="http://schemas.openxmlformats.org/officeDocument/2006/relationships/hyperlink" Target="https://www.rabobank.nl/bedrijven/zakelijk-financieren/bereken-indicatie" TargetMode="External"/><Relationship Id="rId47" Type="http://schemas.openxmlformats.org/officeDocument/2006/relationships/hyperlink" Target="https://www.scribd.com/document/260641162/Wolfgang-Kunze-Technology-Brewing-and-Malting" TargetMode="External"/><Relationship Id="rId50" Type="http://schemas.openxmlformats.org/officeDocument/2006/relationships/hyperlink" Target="https://www.theheinekencompany.com/sites/heineken-corp/files/2026-02/heineken-nv-2025-full-year-results.pdf" TargetMode="External"/><Relationship Id="rId55" Type="http://schemas.openxmlformats.org/officeDocument/2006/relationships/hyperlink" Target="https://business.gov.nl/amendments/minimum-wage-up-january-2026/" TargetMode="External"/><Relationship Id="rId63" Type="http://schemas.openxmlformats.org/officeDocument/2006/relationships/vmlDrawing" Target="../drawings/vmlDrawing3.vml"/><Relationship Id="rId7" Type="http://schemas.openxmlformats.org/officeDocument/2006/relationships/hyperlink" Target="https://www.government.nl/themes/taxes-benefits-and-allowances/taxation-and-businesses/corporation-tax" TargetMode="External"/><Relationship Id="rId2" Type="http://schemas.openxmlformats.org/officeDocument/2006/relationships/hyperlink" Target="https://www.dunea.nl/klantenservice/tarieven" TargetMode="External"/><Relationship Id="rId16" Type="http://schemas.openxmlformats.org/officeDocument/2006/relationships/hyperlink" Target="https://www.scribd.com/document/260641162/Wolfgang-Kunze-Technology-Brewing-and-Malting" TargetMode="External"/><Relationship Id="rId29" Type="http://schemas.openxmlformats.org/officeDocument/2006/relationships/hyperlink" Target="https://open.overheid.nl/documenten/7bcffc44-7296-4d9b-aa96-1fe168a1168d/file" TargetMode="External"/><Relationship Id="rId11" Type="http://schemas.openxmlformats.org/officeDocument/2006/relationships/hyperlink" Target="https://www.rabobank.nl/bedrijven/zakelijk-financieren/bereken-indicatie" TargetMode="External"/><Relationship Id="rId24" Type="http://schemas.openxmlformats.org/officeDocument/2006/relationships/hyperlink" Target="https://business.gov.nl/amendments/minimum-wage-up-january-2026/" TargetMode="External"/><Relationship Id="rId32" Type="http://schemas.openxmlformats.org/officeDocument/2006/relationships/hyperlink" Target="https://www.cbs.nl/nl-nl/visualisaties/dashboard-economie/inflatie" TargetMode="External"/><Relationship Id="rId37" Type="http://schemas.openxmlformats.org/officeDocument/2006/relationships/hyperlink" Target="https://www.cbs.nl/en-gb/figures/detail/85592ENG" TargetMode="External"/><Relationship Id="rId40" Type="http://schemas.openxmlformats.org/officeDocument/2006/relationships/hyperlink" Target="https://maltmagnus.se/en/en/ingredients/hops/hops-bulk/akoya-pellets-2024/" TargetMode="External"/><Relationship Id="rId45" Type="http://schemas.openxmlformats.org/officeDocument/2006/relationships/hyperlink" Target="https://www.cbs.nl/en-gb/figures/detail/85592ENG" TargetMode="External"/><Relationship Id="rId53" Type="http://schemas.openxmlformats.org/officeDocument/2006/relationships/hyperlink" Target="https://www.alibaba.com/product-detail/10000L-beer-making-machine_62026361346.html" TargetMode="External"/><Relationship Id="rId58" Type="http://schemas.openxmlformats.org/officeDocument/2006/relationships/hyperlink" Target="https://brouwland.com/nl/flessen/19659-bierfles-vichy-33-cl-pallet-2888-st.html" TargetMode="External"/><Relationship Id="rId5" Type="http://schemas.openxmlformats.org/officeDocument/2006/relationships/hyperlink" Target="https://www.dunea.nl/klantenservice/tarieven" TargetMode="External"/><Relationship Id="rId61" Type="http://schemas.openxmlformats.org/officeDocument/2006/relationships/hyperlink" Target="https://co2emissiefactoren.nl/factoren/2026/11/elektriciteit/" TargetMode="External"/><Relationship Id="rId19" Type="http://schemas.openxmlformats.org/officeDocument/2006/relationships/hyperlink" Target="https://www.theheinekencompany.com/sites/heineken-corp/files/2026-02/heineken-nv-2025-full-year-results.pdf" TargetMode="External"/><Relationship Id="rId14" Type="http://schemas.openxmlformats.org/officeDocument/2006/relationships/hyperlink" Target="https://www.cbs.nl/en-gb/figures/detail/85592ENG" TargetMode="External"/><Relationship Id="rId22" Type="http://schemas.openxmlformats.org/officeDocument/2006/relationships/hyperlink" Target="https://www.alibaba.com/product-detail/10000L-beer-making-machine_62026361346.html" TargetMode="External"/><Relationship Id="rId27" Type="http://schemas.openxmlformats.org/officeDocument/2006/relationships/hyperlink" Target="https://brouwland.com/nl/flessen/19659-bierfles-vichy-33-cl-pallet-2888-st.html" TargetMode="External"/><Relationship Id="rId30" Type="http://schemas.openxmlformats.org/officeDocument/2006/relationships/hyperlink" Target="https://co2emissiefactoren.nl/factoren/2026/11/elektriciteit/" TargetMode="External"/><Relationship Id="rId35" Type="http://schemas.openxmlformats.org/officeDocument/2006/relationships/hyperlink" Target="https://www.dunea.nl/klantenservice/tarieven" TargetMode="External"/><Relationship Id="rId43" Type="http://schemas.openxmlformats.org/officeDocument/2006/relationships/hyperlink" Target="https://pages.stern.nyu.edu/~adamodar/New_Home_Page/datafile/BetasGlobal.html" TargetMode="External"/><Relationship Id="rId48" Type="http://schemas.openxmlformats.org/officeDocument/2006/relationships/hyperlink" Target="https://www.bvresources.com/articles/bvwire/kroll-reaffirms-us-erp-at-50-and-lowers-eurozone" TargetMode="External"/><Relationship Id="rId56" Type="http://schemas.openxmlformats.org/officeDocument/2006/relationships/hyperlink" Target="https://www.alibaba.com/product-detail/10000L-beer-making-machine_62026361346.html" TargetMode="External"/><Relationship Id="rId64" Type="http://schemas.openxmlformats.org/officeDocument/2006/relationships/comments" Target="../comments3.xml"/><Relationship Id="rId8" Type="http://schemas.openxmlformats.org/officeDocument/2006/relationships/hyperlink" Target="https://www.government.nl/themes/taxes-benefits-and-allowances/taxation-and-businesses/corporation-tax" TargetMode="External"/><Relationship Id="rId51" Type="http://schemas.openxmlformats.org/officeDocument/2006/relationships/hyperlink" Target="https://www.theheinekencompany.com/sites/heineken-corp/files/2026-02/heineken-nv-2025-full-year-results.pdf" TargetMode="External"/><Relationship Id="rId3" Type="http://schemas.openxmlformats.org/officeDocument/2006/relationships/hyperlink" Target="https://www.dunea.nl/klantenservice/tarieven" TargetMode="External"/><Relationship Id="rId12" Type="http://schemas.openxmlformats.org/officeDocument/2006/relationships/hyperlink" Target="https://pages.stern.nyu.edu/~adamodar/New_Home_Page/datafile/BetasGlobal.html" TargetMode="External"/><Relationship Id="rId17" Type="http://schemas.openxmlformats.org/officeDocument/2006/relationships/hyperlink" Target="https://www.bvresources.com/articles/bvwire/kroll-reaffirms-us-erp-at-50-and-lowers-eurozone" TargetMode="External"/><Relationship Id="rId25" Type="http://schemas.openxmlformats.org/officeDocument/2006/relationships/hyperlink" Target="https://www.alibaba.com/product-detail/10000L-beer-making-machine_62026361346.html" TargetMode="External"/><Relationship Id="rId33" Type="http://schemas.openxmlformats.org/officeDocument/2006/relationships/hyperlink" Target="https://www.dunea.nl/klantenservice/tarieven" TargetMode="External"/><Relationship Id="rId38" Type="http://schemas.openxmlformats.org/officeDocument/2006/relationships/hyperlink" Target="https://www.government.nl/themes/taxes-benefits-and-allowances/taxation-and-businesses/corporation-tax" TargetMode="External"/><Relationship Id="rId46" Type="http://schemas.openxmlformats.org/officeDocument/2006/relationships/hyperlink" Target="https://www.fundainbusiness.nl/bedrijfshal/delft/object-43334560-einsteinweg-4/" TargetMode="External"/><Relationship Id="rId59" Type="http://schemas.openxmlformats.org/officeDocument/2006/relationships/hyperlink" Target="https://www.emissieautoriteit.nl/regelgeving/co2-heffing/tarieven-co2-heffing" TargetMode="External"/><Relationship Id="rId20" Type="http://schemas.openxmlformats.org/officeDocument/2006/relationships/hyperlink" Target="https://www.theheinekencompany.com/sites/heineken-corp/files/2026-02/heineken-nv-2025-full-year-results.pdf" TargetMode="External"/><Relationship Id="rId41" Type="http://schemas.openxmlformats.org/officeDocument/2006/relationships/hyperlink" Target="https://www.brouwmout.nl/product/fermentis-safbrew-w-3470/" TargetMode="External"/><Relationship Id="rId54" Type="http://schemas.openxmlformats.org/officeDocument/2006/relationships/hyperlink" Target="https://time.com/7203140/gen-z-drinking-less-alcohol/" TargetMode="External"/><Relationship Id="rId62" Type="http://schemas.openxmlformats.org/officeDocument/2006/relationships/hyperlink" Target="https://co2emissiefactoren.nl/factoren/2026/11/52/elektriciteit-stroom-onbekend-gridmix/" TargetMode="External"/><Relationship Id="rId1" Type="http://schemas.openxmlformats.org/officeDocument/2006/relationships/hyperlink" Target="https://www.cbs.nl/nl-nl/visualisaties/dashboard-economie/inflatie" TargetMode="External"/><Relationship Id="rId6" Type="http://schemas.openxmlformats.org/officeDocument/2006/relationships/hyperlink" Target="https://www.cbs.nl/en-gb/figures/detail/85592ENG" TargetMode="External"/><Relationship Id="rId15" Type="http://schemas.openxmlformats.org/officeDocument/2006/relationships/hyperlink" Target="https://www.fundainbusiness.nl/bedrijfshal/delft/object-43334560-einsteinweg-4/" TargetMode="External"/><Relationship Id="rId23" Type="http://schemas.openxmlformats.org/officeDocument/2006/relationships/hyperlink" Target="https://time.com/7203140/gen-z-drinking-less-alcohol/" TargetMode="External"/><Relationship Id="rId28" Type="http://schemas.openxmlformats.org/officeDocument/2006/relationships/hyperlink" Target="https://www.emissieautoriteit.nl/regelgeving/co2-heffing/tarieven-co2-heffing" TargetMode="External"/><Relationship Id="rId36" Type="http://schemas.openxmlformats.org/officeDocument/2006/relationships/hyperlink" Target="https://www.dunea.nl/klantenservice/tarieven" TargetMode="External"/><Relationship Id="rId49" Type="http://schemas.openxmlformats.org/officeDocument/2006/relationships/hyperlink" Target="https://beersmith.com/blog/2014/11/05/brewhouse-efficiency-vs-mash-efficiency-in-all-grain-beer-brewing/" TargetMode="External"/><Relationship Id="rId57" Type="http://schemas.openxmlformats.org/officeDocument/2006/relationships/hyperlink" Target="https://www.brewersfriend.com/homebrew/recipe/view/391142/08052019-lager" TargetMode="External"/><Relationship Id="rId10" Type="http://schemas.openxmlformats.org/officeDocument/2006/relationships/hyperlink" Target="https://www.brouwmout.nl/product/fermentis-safbrew-w-3470/" TargetMode="External"/><Relationship Id="rId31" Type="http://schemas.openxmlformats.org/officeDocument/2006/relationships/hyperlink" Target="https://co2emissiefactoren.nl/factoren/2026/11/52/elektriciteit-stroom-onbekend-gridmix/" TargetMode="External"/><Relationship Id="rId44" Type="http://schemas.openxmlformats.org/officeDocument/2006/relationships/hyperlink" Target="https://www.thehomebrewcompany.co.uk/best-pilsen-malt-25kg-whole-bestmalz-35-ebc-p-3029.html?cPath=69_232_233" TargetMode="External"/><Relationship Id="rId52" Type="http://schemas.openxmlformats.org/officeDocument/2006/relationships/hyperlink" Target="https://www.alibaba.com/product-detail/10000L-beer-making-machine_62026361346.html" TargetMode="External"/><Relationship Id="rId60" Type="http://schemas.openxmlformats.org/officeDocument/2006/relationships/hyperlink" Target="https://open.overheid.nl/documenten/7bcffc44-7296-4d9b-aa96-1fe168a1168d/file" TargetMode="External"/><Relationship Id="rId65" Type="http://schemas.microsoft.com/office/2017/10/relationships/threadedComment" Target="../threadedComments/threadedComment3.xml"/><Relationship Id="rId4" Type="http://schemas.openxmlformats.org/officeDocument/2006/relationships/hyperlink" Target="https://www.dunea.nl/klantenservice/tarieven" TargetMode="External"/><Relationship Id="rId9" Type="http://schemas.openxmlformats.org/officeDocument/2006/relationships/hyperlink" Target="https://maltmagnus.se/en/en/ingredients/hops/hops-bulk/akoya-pellets-2024/" TargetMode="External"/><Relationship Id="rId13" Type="http://schemas.openxmlformats.org/officeDocument/2006/relationships/hyperlink" Target="https://www.thehomebrewcompany.co.uk/best-pilsen-malt-25kg-whole-bestmalz-35-ebc-p-3029.html?cPath=69_232_233" TargetMode="External"/><Relationship Id="rId18" Type="http://schemas.openxmlformats.org/officeDocument/2006/relationships/hyperlink" Target="https://beersmith.com/blog/2014/11/05/brewhouse-efficiency-vs-mash-efficiency-in-all-grain-beer-brewing/" TargetMode="External"/><Relationship Id="rId39" Type="http://schemas.openxmlformats.org/officeDocument/2006/relationships/hyperlink" Target="https://www.government.nl/themes/taxes-benefits-and-allowances/taxation-and-businesses/corporation-ta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FAA6-A552-4CDE-8066-EE5ECD0BF096}">
  <dimension ref="A1:AD76"/>
  <sheetViews>
    <sheetView zoomScale="82" zoomScaleNormal="82" workbookViewId="0">
      <selection activeCell="A6" sqref="A6:D8"/>
    </sheetView>
  </sheetViews>
  <sheetFormatPr defaultRowHeight="14.4" x14ac:dyDescent="0.3"/>
  <cols>
    <col min="1" max="1" width="68.77734375" bestFit="1" customWidth="1"/>
    <col min="2" max="2" width="21.21875" bestFit="1" customWidth="1"/>
    <col min="3" max="3" width="17.5546875" bestFit="1" customWidth="1"/>
    <col min="4" max="4" width="11.77734375" customWidth="1"/>
    <col min="5" max="5" width="12.21875" customWidth="1"/>
    <col min="6" max="6" width="36.33203125" bestFit="1" customWidth="1"/>
    <col min="7" max="7" width="27.21875" bestFit="1" customWidth="1"/>
    <col min="8" max="8" width="14.21875" bestFit="1" customWidth="1"/>
    <col min="9" max="30" width="20.77734375" customWidth="1"/>
  </cols>
  <sheetData>
    <row r="1" spans="1:30" x14ac:dyDescent="0.3">
      <c r="A1" s="55" t="s">
        <v>153</v>
      </c>
    </row>
    <row r="2" spans="1:30" x14ac:dyDescent="0.3">
      <c r="A2" t="s">
        <v>195</v>
      </c>
    </row>
    <row r="3" spans="1:30" x14ac:dyDescent="0.3">
      <c r="A3" t="s">
        <v>196</v>
      </c>
    </row>
    <row r="4" spans="1:30" x14ac:dyDescent="0.3">
      <c r="G4" s="119" t="s">
        <v>201</v>
      </c>
      <c r="H4" s="120"/>
      <c r="I4" s="97" t="s">
        <v>199</v>
      </c>
      <c r="J4" s="95">
        <v>0</v>
      </c>
      <c r="K4" s="95">
        <v>1</v>
      </c>
      <c r="L4" s="95">
        <v>2</v>
      </c>
      <c r="M4" s="95">
        <v>3</v>
      </c>
      <c r="N4" s="95">
        <v>4</v>
      </c>
      <c r="O4" s="95">
        <v>5</v>
      </c>
      <c r="P4" s="95">
        <v>6</v>
      </c>
      <c r="Q4" s="95">
        <v>7</v>
      </c>
      <c r="R4" s="95">
        <v>8</v>
      </c>
      <c r="S4" s="95">
        <v>9</v>
      </c>
      <c r="T4" s="95">
        <v>10</v>
      </c>
      <c r="U4" s="95">
        <v>11</v>
      </c>
      <c r="V4" s="95">
        <v>12</v>
      </c>
      <c r="W4" s="95">
        <v>13</v>
      </c>
      <c r="X4" s="95">
        <v>14</v>
      </c>
      <c r="Y4" s="95">
        <v>15</v>
      </c>
      <c r="Z4" s="95">
        <v>16</v>
      </c>
      <c r="AA4" s="95">
        <v>17</v>
      </c>
      <c r="AB4" s="95">
        <v>18</v>
      </c>
      <c r="AC4" s="95">
        <v>19</v>
      </c>
      <c r="AD4" s="96">
        <v>20</v>
      </c>
    </row>
    <row r="5" spans="1:30" x14ac:dyDescent="0.3">
      <c r="G5" s="121"/>
      <c r="H5" s="122"/>
      <c r="I5" s="89" t="s">
        <v>0</v>
      </c>
      <c r="J5" s="100">
        <f>-B53</f>
        <v>-244361.04</v>
      </c>
      <c r="K5" s="79">
        <f t="shared" ref="K5:AD5" si="0">-$B$51</f>
        <v>-47125.11</v>
      </c>
      <c r="L5" s="79">
        <f t="shared" si="0"/>
        <v>-47125.11</v>
      </c>
      <c r="M5" s="79">
        <f t="shared" si="0"/>
        <v>-47125.11</v>
      </c>
      <c r="N5" s="79">
        <f t="shared" si="0"/>
        <v>-47125.11</v>
      </c>
      <c r="O5" s="79">
        <f t="shared" si="0"/>
        <v>-47125.11</v>
      </c>
      <c r="P5" s="79">
        <f t="shared" si="0"/>
        <v>-47125.11</v>
      </c>
      <c r="Q5" s="79">
        <f t="shared" si="0"/>
        <v>-47125.11</v>
      </c>
      <c r="R5" s="79">
        <f t="shared" si="0"/>
        <v>-47125.11</v>
      </c>
      <c r="S5" s="79">
        <f t="shared" si="0"/>
        <v>-47125.11</v>
      </c>
      <c r="T5" s="79">
        <f t="shared" si="0"/>
        <v>-47125.11</v>
      </c>
      <c r="U5" s="79">
        <f t="shared" si="0"/>
        <v>-47125.11</v>
      </c>
      <c r="V5" s="79">
        <f t="shared" si="0"/>
        <v>-47125.11</v>
      </c>
      <c r="W5" s="79">
        <f t="shared" si="0"/>
        <v>-47125.11</v>
      </c>
      <c r="X5" s="79">
        <f t="shared" si="0"/>
        <v>-47125.11</v>
      </c>
      <c r="Y5" s="79">
        <f t="shared" si="0"/>
        <v>-47125.11</v>
      </c>
      <c r="Z5" s="79">
        <f t="shared" si="0"/>
        <v>-47125.11</v>
      </c>
      <c r="AA5" s="79">
        <f t="shared" si="0"/>
        <v>-47125.11</v>
      </c>
      <c r="AB5" s="79">
        <f t="shared" si="0"/>
        <v>-47125.11</v>
      </c>
      <c r="AC5" s="79">
        <f t="shared" si="0"/>
        <v>-47125.11</v>
      </c>
      <c r="AD5" s="80">
        <f t="shared" si="0"/>
        <v>-47125.11</v>
      </c>
    </row>
    <row r="6" spans="1:30" x14ac:dyDescent="0.3">
      <c r="A6" s="119" t="s">
        <v>202</v>
      </c>
      <c r="B6" s="130"/>
      <c r="C6" s="130"/>
      <c r="D6" s="120"/>
      <c r="G6" s="121"/>
      <c r="H6" s="122"/>
      <c r="I6" s="90" t="s">
        <v>1</v>
      </c>
      <c r="J6" s="101">
        <v>0</v>
      </c>
      <c r="K6" s="81">
        <f t="shared" ref="K6:AD6" si="1">-$B$52</f>
        <v>-2797630.9773508869</v>
      </c>
      <c r="L6" s="81">
        <f t="shared" si="1"/>
        <v>-2797630.9773508869</v>
      </c>
      <c r="M6" s="81">
        <f t="shared" si="1"/>
        <v>-2797630.9773508869</v>
      </c>
      <c r="N6" s="81">
        <f t="shared" si="1"/>
        <v>-2797630.9773508869</v>
      </c>
      <c r="O6" s="81">
        <f t="shared" si="1"/>
        <v>-2797630.9773508869</v>
      </c>
      <c r="P6" s="81">
        <f t="shared" si="1"/>
        <v>-2797630.9773508869</v>
      </c>
      <c r="Q6" s="81">
        <f t="shared" si="1"/>
        <v>-2797630.9773508869</v>
      </c>
      <c r="R6" s="81">
        <f t="shared" si="1"/>
        <v>-2797630.9773508869</v>
      </c>
      <c r="S6" s="81">
        <f t="shared" si="1"/>
        <v>-2797630.9773508869</v>
      </c>
      <c r="T6" s="81">
        <f t="shared" si="1"/>
        <v>-2797630.9773508869</v>
      </c>
      <c r="U6" s="81">
        <f t="shared" si="1"/>
        <v>-2797630.9773508869</v>
      </c>
      <c r="V6" s="81">
        <f t="shared" si="1"/>
        <v>-2797630.9773508869</v>
      </c>
      <c r="W6" s="81">
        <f t="shared" si="1"/>
        <v>-2797630.9773508869</v>
      </c>
      <c r="X6" s="81">
        <f t="shared" si="1"/>
        <v>-2797630.9773508869</v>
      </c>
      <c r="Y6" s="81">
        <f t="shared" si="1"/>
        <v>-2797630.9773508869</v>
      </c>
      <c r="Z6" s="81">
        <f t="shared" si="1"/>
        <v>-2797630.9773508869</v>
      </c>
      <c r="AA6" s="81">
        <f t="shared" si="1"/>
        <v>-2797630.9773508869</v>
      </c>
      <c r="AB6" s="81">
        <f t="shared" si="1"/>
        <v>-2797630.9773508869</v>
      </c>
      <c r="AC6" s="81">
        <f t="shared" si="1"/>
        <v>-2797630.9773508869</v>
      </c>
      <c r="AD6" s="82">
        <f t="shared" si="1"/>
        <v>-2797630.9773508869</v>
      </c>
    </row>
    <row r="7" spans="1:30" x14ac:dyDescent="0.3">
      <c r="A7" s="121"/>
      <c r="B7" s="131"/>
      <c r="C7" s="131"/>
      <c r="D7" s="122"/>
      <c r="G7" s="121"/>
      <c r="H7" s="122"/>
      <c r="I7" s="91" t="s">
        <v>2</v>
      </c>
      <c r="J7" s="102">
        <v>0</v>
      </c>
      <c r="K7" s="83">
        <f t="shared" ref="K7:AD7" si="2">$B$60</f>
        <v>2875300</v>
      </c>
      <c r="L7" s="83">
        <f t="shared" si="2"/>
        <v>2875300</v>
      </c>
      <c r="M7" s="83">
        <f t="shared" si="2"/>
        <v>2875300</v>
      </c>
      <c r="N7" s="83">
        <f t="shared" si="2"/>
        <v>2875300</v>
      </c>
      <c r="O7" s="83">
        <f t="shared" si="2"/>
        <v>2875300</v>
      </c>
      <c r="P7" s="83">
        <f t="shared" si="2"/>
        <v>2875300</v>
      </c>
      <c r="Q7" s="83">
        <f t="shared" si="2"/>
        <v>2875300</v>
      </c>
      <c r="R7" s="83">
        <f t="shared" si="2"/>
        <v>2875300</v>
      </c>
      <c r="S7" s="83">
        <f t="shared" si="2"/>
        <v>2875300</v>
      </c>
      <c r="T7" s="83">
        <f t="shared" si="2"/>
        <v>2875300</v>
      </c>
      <c r="U7" s="83">
        <f t="shared" si="2"/>
        <v>2875300</v>
      </c>
      <c r="V7" s="83">
        <f t="shared" si="2"/>
        <v>2875300</v>
      </c>
      <c r="W7" s="83">
        <f t="shared" si="2"/>
        <v>2875300</v>
      </c>
      <c r="X7" s="83">
        <f t="shared" si="2"/>
        <v>2875300</v>
      </c>
      <c r="Y7" s="83">
        <f t="shared" si="2"/>
        <v>2875300</v>
      </c>
      <c r="Z7" s="83">
        <f t="shared" si="2"/>
        <v>2875300</v>
      </c>
      <c r="AA7" s="83">
        <f t="shared" si="2"/>
        <v>2875300</v>
      </c>
      <c r="AB7" s="83">
        <f t="shared" si="2"/>
        <v>2875300</v>
      </c>
      <c r="AC7" s="83">
        <f t="shared" si="2"/>
        <v>2875300</v>
      </c>
      <c r="AD7" s="84">
        <f t="shared" si="2"/>
        <v>2875300</v>
      </c>
    </row>
    <row r="8" spans="1:30" x14ac:dyDescent="0.3">
      <c r="A8" s="123"/>
      <c r="B8" s="132"/>
      <c r="C8" s="132"/>
      <c r="D8" s="124"/>
      <c r="G8" s="121"/>
      <c r="H8" s="122"/>
      <c r="I8" s="91" t="s">
        <v>3</v>
      </c>
      <c r="J8" s="102">
        <f>SUM(J5:J7)</f>
        <v>-244361.04</v>
      </c>
      <c r="K8" s="83">
        <f>SUM(K5:K7)</f>
        <v>30543.912649113219</v>
      </c>
      <c r="L8" s="83">
        <f t="shared" ref="L8:AD8" si="3">SUM(L5:L7)</f>
        <v>30543.912649113219</v>
      </c>
      <c r="M8" s="83">
        <f t="shared" si="3"/>
        <v>30543.912649113219</v>
      </c>
      <c r="N8" s="83">
        <f t="shared" si="3"/>
        <v>30543.912649113219</v>
      </c>
      <c r="O8" s="83">
        <f t="shared" si="3"/>
        <v>30543.912649113219</v>
      </c>
      <c r="P8" s="83">
        <f t="shared" si="3"/>
        <v>30543.912649113219</v>
      </c>
      <c r="Q8" s="83">
        <f t="shared" si="3"/>
        <v>30543.912649113219</v>
      </c>
      <c r="R8" s="83">
        <f t="shared" si="3"/>
        <v>30543.912649113219</v>
      </c>
      <c r="S8" s="83">
        <f t="shared" si="3"/>
        <v>30543.912649113219</v>
      </c>
      <c r="T8" s="83">
        <f t="shared" si="3"/>
        <v>30543.912649113219</v>
      </c>
      <c r="U8" s="83">
        <f t="shared" si="3"/>
        <v>30543.912649113219</v>
      </c>
      <c r="V8" s="83">
        <f t="shared" si="3"/>
        <v>30543.912649113219</v>
      </c>
      <c r="W8" s="83">
        <f t="shared" si="3"/>
        <v>30543.912649113219</v>
      </c>
      <c r="X8" s="83">
        <f t="shared" si="3"/>
        <v>30543.912649113219</v>
      </c>
      <c r="Y8" s="83">
        <f t="shared" si="3"/>
        <v>30543.912649113219</v>
      </c>
      <c r="Z8" s="83">
        <f t="shared" si="3"/>
        <v>30543.912649113219</v>
      </c>
      <c r="AA8" s="83">
        <f t="shared" si="3"/>
        <v>30543.912649113219</v>
      </c>
      <c r="AB8" s="83">
        <f t="shared" si="3"/>
        <v>30543.912649113219</v>
      </c>
      <c r="AC8" s="83">
        <f t="shared" si="3"/>
        <v>30543.912649113219</v>
      </c>
      <c r="AD8" s="84">
        <f t="shared" si="3"/>
        <v>30543.912649113219</v>
      </c>
    </row>
    <row r="9" spans="1:30" x14ac:dyDescent="0.3">
      <c r="C9" s="41" t="s">
        <v>4</v>
      </c>
      <c r="G9" s="121"/>
      <c r="H9" s="122"/>
      <c r="I9" s="91" t="s">
        <v>5</v>
      </c>
      <c r="J9" s="102">
        <f>SUM(J6:J8)</f>
        <v>-244361.04</v>
      </c>
      <c r="K9" s="83">
        <f t="shared" ref="K9:AD9" si="4">(1-$B$64)*K8</f>
        <v>24740.569245781709</v>
      </c>
      <c r="L9" s="83">
        <f t="shared" si="4"/>
        <v>24740.569245781709</v>
      </c>
      <c r="M9" s="83">
        <f t="shared" si="4"/>
        <v>24740.569245781709</v>
      </c>
      <c r="N9" s="83">
        <f t="shared" si="4"/>
        <v>24740.569245781709</v>
      </c>
      <c r="O9" s="83">
        <f t="shared" si="4"/>
        <v>24740.569245781709</v>
      </c>
      <c r="P9" s="83">
        <f t="shared" si="4"/>
        <v>24740.569245781709</v>
      </c>
      <c r="Q9" s="83">
        <f t="shared" si="4"/>
        <v>24740.569245781709</v>
      </c>
      <c r="R9" s="83">
        <f t="shared" si="4"/>
        <v>24740.569245781709</v>
      </c>
      <c r="S9" s="83">
        <f t="shared" si="4"/>
        <v>24740.569245781709</v>
      </c>
      <c r="T9" s="83">
        <f t="shared" si="4"/>
        <v>24740.569245781709</v>
      </c>
      <c r="U9" s="83">
        <f t="shared" si="4"/>
        <v>24740.569245781709</v>
      </c>
      <c r="V9" s="83">
        <f t="shared" si="4"/>
        <v>24740.569245781709</v>
      </c>
      <c r="W9" s="83">
        <f t="shared" si="4"/>
        <v>24740.569245781709</v>
      </c>
      <c r="X9" s="83">
        <f t="shared" si="4"/>
        <v>24740.569245781709</v>
      </c>
      <c r="Y9" s="83">
        <f t="shared" si="4"/>
        <v>24740.569245781709</v>
      </c>
      <c r="Z9" s="83">
        <f t="shared" si="4"/>
        <v>24740.569245781709</v>
      </c>
      <c r="AA9" s="83">
        <f t="shared" si="4"/>
        <v>24740.569245781709</v>
      </c>
      <c r="AB9" s="83">
        <f t="shared" si="4"/>
        <v>24740.569245781709</v>
      </c>
      <c r="AC9" s="83">
        <f t="shared" si="4"/>
        <v>24740.569245781709</v>
      </c>
      <c r="AD9" s="84">
        <f t="shared" si="4"/>
        <v>24740.569245781709</v>
      </c>
    </row>
    <row r="10" spans="1:30" x14ac:dyDescent="0.3">
      <c r="A10" s="55" t="s">
        <v>6</v>
      </c>
      <c r="B10" s="125">
        <v>3.5000000000000003E-2</v>
      </c>
      <c r="C10" s="6" t="s">
        <v>7</v>
      </c>
      <c r="G10" s="121"/>
      <c r="H10" s="122"/>
      <c r="I10" s="112" t="s">
        <v>8</v>
      </c>
      <c r="J10" s="114">
        <f>J9</f>
        <v>-244361.04</v>
      </c>
      <c r="K10" s="85">
        <f>PV($B$66,K4,,-K9)</f>
        <v>23173.906792902948</v>
      </c>
      <c r="L10" s="85">
        <f>PV($B$66,L4,,-L9)</f>
        <v>21706.451080858522</v>
      </c>
      <c r="M10" s="85">
        <f>PV($B$66,M4,,-M9)</f>
        <v>20331.919979500424</v>
      </c>
      <c r="N10" s="85">
        <f>PV($B$66,N4,,-N9)</f>
        <v>19044.429165914968</v>
      </c>
      <c r="O10" s="85">
        <f>PV($B$66,O4,,-O9)</f>
        <v>17838.466933827876</v>
      </c>
      <c r="P10" s="85">
        <f>PV($B$66,P4,,-P9)</f>
        <v>16708.870598169095</v>
      </c>
      <c r="Q10" s="85">
        <f>PV($B$66,Q4,,-Q9)</f>
        <v>15650.804393785998</v>
      </c>
      <c r="R10" s="85">
        <f>PV($B$66,R4,,-R9)</f>
        <v>14659.738773690169</v>
      </c>
      <c r="S10" s="85">
        <f>PV($B$66,S4,,-S9)</f>
        <v>13731.431018214123</v>
      </c>
      <c r="T10" s="85">
        <f>PV($B$66,T4,,-T9)</f>
        <v>12861.907072066493</v>
      </c>
      <c r="U10" s="85">
        <f>PV($B$66,U4,,-U9)</f>
        <v>12047.444531530649</v>
      </c>
      <c r="V10" s="85">
        <f>PV($B$66,V4,,-V9)</f>
        <v>11284.556708975528</v>
      </c>
      <c r="W10" s="85">
        <f>PV($B$66,W4,,-W9)</f>
        <v>10569.977706459353</v>
      </c>
      <c r="X10" s="85">
        <f>PV($B$66,X4,,-X9)</f>
        <v>9900.6484345268218</v>
      </c>
      <c r="Y10" s="85">
        <f>PV($B$66,Y4,,-Y9)</f>
        <v>9273.7035163467081</v>
      </c>
      <c r="Z10" s="85">
        <f>PV($B$66,Z4,,-Z9)</f>
        <v>8686.4590211268878</v>
      </c>
      <c r="AA10" s="85">
        <f>PV($B$66,AA4,,-AA9)</f>
        <v>8136.4009742939606</v>
      </c>
      <c r="AB10" s="85">
        <f>PV($B$66,AB4,,-AB9)</f>
        <v>7621.1745952499168</v>
      </c>
      <c r="AC10" s="85">
        <f>PV($B$66,AC4,,-AC9)</f>
        <v>7138.5742166330319</v>
      </c>
      <c r="AD10" s="86">
        <f>PV($B$66,AD4,,-AD9)</f>
        <v>6686.5338419276595</v>
      </c>
    </row>
    <row r="11" spans="1:30" x14ac:dyDescent="0.3">
      <c r="A11" s="55" t="s">
        <v>9</v>
      </c>
      <c r="B11" s="126">
        <v>0.06</v>
      </c>
      <c r="C11" s="6" t="s">
        <v>10</v>
      </c>
      <c r="G11" s="121"/>
      <c r="H11" s="122"/>
      <c r="I11" s="113" t="s">
        <v>11</v>
      </c>
      <c r="J11" s="115">
        <f>J10</f>
        <v>-244361.04</v>
      </c>
      <c r="K11" s="87">
        <f>K10+J11</f>
        <v>-221187.13320709707</v>
      </c>
      <c r="L11" s="87">
        <f>L10+K11</f>
        <v>-199480.68212623853</v>
      </c>
      <c r="M11" s="87">
        <f t="shared" ref="M11:AD11" si="5">M10+L11</f>
        <v>-179148.76214673813</v>
      </c>
      <c r="N11" s="87">
        <f t="shared" si="5"/>
        <v>-160104.33298082315</v>
      </c>
      <c r="O11" s="87">
        <f t="shared" si="5"/>
        <v>-142265.86604699527</v>
      </c>
      <c r="P11" s="87">
        <f t="shared" si="5"/>
        <v>-125556.99544882617</v>
      </c>
      <c r="Q11" s="87">
        <f t="shared" si="5"/>
        <v>-109906.19105504017</v>
      </c>
      <c r="R11" s="87">
        <f t="shared" si="5"/>
        <v>-95246.452281349993</v>
      </c>
      <c r="S11" s="87">
        <f t="shared" si="5"/>
        <v>-81515.021263135874</v>
      </c>
      <c r="T11" s="87">
        <f t="shared" si="5"/>
        <v>-68653.114191069384</v>
      </c>
      <c r="U11" s="87">
        <f t="shared" si="5"/>
        <v>-56605.669659538733</v>
      </c>
      <c r="V11" s="87">
        <f t="shared" si="5"/>
        <v>-45321.112950563205</v>
      </c>
      <c r="W11" s="87">
        <f t="shared" si="5"/>
        <v>-34751.135244103854</v>
      </c>
      <c r="X11" s="87">
        <f t="shared" si="5"/>
        <v>-24850.486809577033</v>
      </c>
      <c r="Y11" s="87">
        <f t="shared" si="5"/>
        <v>-15576.783293230324</v>
      </c>
      <c r="Z11" s="87">
        <f t="shared" si="5"/>
        <v>-6890.3242721034367</v>
      </c>
      <c r="AA11" s="87">
        <f t="shared" si="5"/>
        <v>1246.076702190524</v>
      </c>
      <c r="AB11" s="87">
        <f t="shared" si="5"/>
        <v>8867.2512974404417</v>
      </c>
      <c r="AC11" s="87">
        <f t="shared" si="5"/>
        <v>16005.825514073473</v>
      </c>
      <c r="AD11" s="88">
        <f t="shared" si="5"/>
        <v>22692.359356001132</v>
      </c>
    </row>
    <row r="12" spans="1:30" x14ac:dyDescent="0.3">
      <c r="A12" s="55" t="s">
        <v>12</v>
      </c>
      <c r="B12" s="125">
        <f>((1+B11)/(1+B10))-1</f>
        <v>2.4154589371980784E-2</v>
      </c>
      <c r="C12" s="6"/>
      <c r="G12" s="121"/>
      <c r="H12" s="122"/>
      <c r="I12" s="75" t="s">
        <v>13</v>
      </c>
      <c r="J12" s="78">
        <f>IF(ISNUMBER(IRR(J9:AD9)),IRR(J9:AD9),"Loss Too Large")</f>
        <v>7.9199151906792942E-2</v>
      </c>
      <c r="K12" s="13"/>
      <c r="L12" s="13"/>
      <c r="M12" s="13"/>
      <c r="N12" s="13"/>
      <c r="O12" s="13"/>
      <c r="P12" s="13"/>
      <c r="Q12" s="13"/>
      <c r="R12" s="13"/>
      <c r="S12" s="13"/>
      <c r="T12" s="13"/>
      <c r="U12" s="13"/>
      <c r="V12" s="13"/>
      <c r="W12" s="13"/>
      <c r="X12" s="13"/>
      <c r="Y12" s="13"/>
      <c r="Z12" s="13"/>
      <c r="AA12" s="13"/>
      <c r="AB12" s="13"/>
      <c r="AC12" s="13"/>
      <c r="AD12" s="13"/>
    </row>
    <row r="13" spans="1:30" x14ac:dyDescent="0.3">
      <c r="A13" s="55" t="s">
        <v>14</v>
      </c>
      <c r="B13" s="127">
        <v>0.79</v>
      </c>
      <c r="C13" s="6" t="s">
        <v>15</v>
      </c>
      <c r="G13" s="123"/>
      <c r="H13" s="124"/>
      <c r="I13" s="76" t="s">
        <v>16</v>
      </c>
      <c r="J13" s="74">
        <f>NPV(C66,(K9:AD9))+J9</f>
        <v>22701.985182133649</v>
      </c>
      <c r="K13" s="13"/>
      <c r="L13" s="13"/>
      <c r="M13" s="13"/>
      <c r="N13" s="13"/>
      <c r="O13" s="13"/>
      <c r="P13" s="13"/>
      <c r="Q13" s="13"/>
      <c r="R13" s="13"/>
      <c r="S13" s="13"/>
      <c r="T13" s="13"/>
      <c r="U13" s="13"/>
      <c r="V13" s="13"/>
      <c r="W13" s="13"/>
      <c r="X13" s="13"/>
      <c r="Y13" s="13"/>
      <c r="Z13" s="13"/>
      <c r="AA13" s="13"/>
      <c r="AB13" s="13"/>
      <c r="AC13" s="13"/>
      <c r="AD13" s="13"/>
    </row>
    <row r="14" spans="1:30" x14ac:dyDescent="0.3">
      <c r="A14" s="55" t="s">
        <v>17</v>
      </c>
      <c r="B14" s="125">
        <v>5.5E-2</v>
      </c>
      <c r="C14" s="6" t="s">
        <v>18</v>
      </c>
    </row>
    <row r="17" spans="1:7" ht="15" thickBot="1" x14ac:dyDescent="0.35">
      <c r="A17" t="s">
        <v>19</v>
      </c>
      <c r="D17" s="41" t="s">
        <v>4</v>
      </c>
    </row>
    <row r="18" spans="1:7" ht="15" thickBot="1" x14ac:dyDescent="0.35">
      <c r="A18" s="7" t="s">
        <v>20</v>
      </c>
      <c r="B18" s="45">
        <v>268.37</v>
      </c>
      <c r="C18" s="4" t="s">
        <v>21</v>
      </c>
      <c r="D18" s="6" t="s">
        <v>22</v>
      </c>
    </row>
    <row r="19" spans="1:7" ht="15" thickBot="1" x14ac:dyDescent="0.35">
      <c r="A19" s="7" t="s">
        <v>23</v>
      </c>
      <c r="B19" s="45">
        <v>92.61</v>
      </c>
      <c r="C19" s="4" t="s">
        <v>24</v>
      </c>
      <c r="D19" s="6" t="s">
        <v>25</v>
      </c>
    </row>
    <row r="20" spans="1:7" ht="15" thickBot="1" x14ac:dyDescent="0.35">
      <c r="A20" s="7" t="s">
        <v>26</v>
      </c>
      <c r="B20" s="45">
        <v>0.57830000000000004</v>
      </c>
      <c r="C20" s="4" t="s">
        <v>27</v>
      </c>
      <c r="D20" s="6" t="s">
        <v>28</v>
      </c>
    </row>
    <row r="21" spans="1:7" ht="15" thickBot="1" x14ac:dyDescent="0.35">
      <c r="A21" s="7" t="s">
        <v>29</v>
      </c>
      <c r="B21" s="45">
        <v>0.7268</v>
      </c>
      <c r="C21" s="4" t="s">
        <v>27</v>
      </c>
      <c r="D21" s="6" t="s">
        <v>30</v>
      </c>
    </row>
    <row r="22" spans="1:7" ht="15" thickBot="1" x14ac:dyDescent="0.35">
      <c r="A22" s="11" t="s">
        <v>31</v>
      </c>
      <c r="B22" s="45">
        <v>476.87</v>
      </c>
      <c r="C22" s="4" t="s">
        <v>24</v>
      </c>
      <c r="D22" s="6" t="s">
        <v>32</v>
      </c>
    </row>
    <row r="23" spans="1:7" ht="15" thickBot="1" x14ac:dyDescent="0.35">
      <c r="A23" s="11" t="s">
        <v>23</v>
      </c>
      <c r="B23" s="45">
        <v>112.95</v>
      </c>
      <c r="C23" s="4" t="s">
        <v>24</v>
      </c>
      <c r="D23" s="6" t="s">
        <v>33</v>
      </c>
    </row>
    <row r="24" spans="1:7" ht="15" thickBot="1" x14ac:dyDescent="0.35">
      <c r="A24" s="11" t="s">
        <v>26</v>
      </c>
      <c r="B24" s="45">
        <v>0.13869999999999999</v>
      </c>
      <c r="C24" s="4" t="s">
        <v>34</v>
      </c>
      <c r="D24" s="6" t="s">
        <v>35</v>
      </c>
    </row>
    <row r="25" spans="1:7" ht="15" thickBot="1" x14ac:dyDescent="0.35">
      <c r="A25" s="11" t="s">
        <v>29</v>
      </c>
      <c r="B25" s="45">
        <v>0.1353</v>
      </c>
      <c r="C25" s="4" t="s">
        <v>34</v>
      </c>
      <c r="D25" s="6" t="s">
        <v>36</v>
      </c>
      <c r="G25" s="6"/>
    </row>
    <row r="26" spans="1:7" ht="15" thickBot="1" x14ac:dyDescent="0.35">
      <c r="A26" s="11" t="s">
        <v>37</v>
      </c>
      <c r="B26" s="45">
        <v>-635.19000000000005</v>
      </c>
      <c r="C26" s="4" t="s">
        <v>38</v>
      </c>
      <c r="D26" s="6" t="s">
        <v>39</v>
      </c>
    </row>
    <row r="27" spans="1:7" ht="15" thickBot="1" x14ac:dyDescent="0.35">
      <c r="A27" s="8" t="s">
        <v>40</v>
      </c>
      <c r="B27" s="45">
        <v>1.45</v>
      </c>
      <c r="C27" s="4" t="s">
        <v>27</v>
      </c>
      <c r="D27" s="6" t="s">
        <v>41</v>
      </c>
    </row>
    <row r="28" spans="1:7" ht="15" thickBot="1" x14ac:dyDescent="0.35">
      <c r="A28" s="9" t="s">
        <v>42</v>
      </c>
      <c r="B28" s="45">
        <v>181.11</v>
      </c>
      <c r="C28" s="4" t="s">
        <v>38</v>
      </c>
      <c r="D28" s="6" t="s">
        <v>41</v>
      </c>
    </row>
    <row r="29" spans="1:7" ht="15" thickBot="1" x14ac:dyDescent="0.35">
      <c r="A29" s="8" t="s">
        <v>43</v>
      </c>
      <c r="B29" s="45">
        <v>1708</v>
      </c>
      <c r="C29" s="4" t="s">
        <v>44</v>
      </c>
      <c r="D29" s="6" t="s">
        <v>41</v>
      </c>
    </row>
    <row r="30" spans="1:7" ht="15" thickBot="1" x14ac:dyDescent="0.35">
      <c r="A30" s="8" t="s">
        <v>45</v>
      </c>
      <c r="B30" s="45">
        <v>0.437</v>
      </c>
      <c r="C30" s="4" t="s">
        <v>46</v>
      </c>
      <c r="D30" s="6" t="s">
        <v>41</v>
      </c>
    </row>
    <row r="31" spans="1:7" ht="15" thickBot="1" x14ac:dyDescent="0.35">
      <c r="A31" s="10" t="s">
        <v>47</v>
      </c>
      <c r="B31" s="45">
        <v>2.08</v>
      </c>
      <c r="C31" s="4" t="s">
        <v>48</v>
      </c>
      <c r="D31" s="6" t="s">
        <v>49</v>
      </c>
    </row>
    <row r="32" spans="1:7" ht="15" thickBot="1" x14ac:dyDescent="0.35">
      <c r="A32" s="10" t="s">
        <v>50</v>
      </c>
      <c r="B32" s="45">
        <v>36.344000000000001</v>
      </c>
      <c r="C32" s="4" t="s">
        <v>48</v>
      </c>
      <c r="D32" s="6" t="s">
        <v>51</v>
      </c>
    </row>
    <row r="33" spans="1:17" ht="15" thickBot="1" x14ac:dyDescent="0.35">
      <c r="A33" s="10" t="s">
        <v>52</v>
      </c>
      <c r="B33" s="45">
        <v>6.45</v>
      </c>
      <c r="C33" s="4" t="s">
        <v>53</v>
      </c>
      <c r="D33" s="6" t="s">
        <v>54</v>
      </c>
      <c r="Q33" s="3"/>
    </row>
    <row r="34" spans="1:17" ht="15" thickBot="1" x14ac:dyDescent="0.35">
      <c r="A34" s="38" t="s">
        <v>55</v>
      </c>
      <c r="B34" s="45">
        <v>200893.04</v>
      </c>
      <c r="C34" s="4" t="s">
        <v>44</v>
      </c>
      <c r="D34" s="6" t="s">
        <v>56</v>
      </c>
    </row>
    <row r="35" spans="1:17" ht="15" thickBot="1" x14ac:dyDescent="0.35">
      <c r="A35" s="38" t="s">
        <v>57</v>
      </c>
      <c r="B35" s="45">
        <f>80</f>
        <v>80</v>
      </c>
      <c r="C35" s="4" t="s">
        <v>58</v>
      </c>
      <c r="D35" s="6" t="s">
        <v>56</v>
      </c>
    </row>
    <row r="36" spans="1:17" ht="15" thickBot="1" x14ac:dyDescent="0.35">
      <c r="A36" s="38" t="s">
        <v>59</v>
      </c>
      <c r="B36" s="45">
        <f>18*3*8*12</f>
        <v>5184</v>
      </c>
      <c r="C36" s="4" t="s">
        <v>44</v>
      </c>
      <c r="D36" s="6" t="s">
        <v>60</v>
      </c>
    </row>
    <row r="37" spans="1:17" ht="15" thickBot="1" x14ac:dyDescent="0.35">
      <c r="A37" s="38" t="s">
        <v>61</v>
      </c>
      <c r="B37" s="46">
        <v>0.55000000000000004</v>
      </c>
      <c r="C37" s="4" t="s">
        <v>62</v>
      </c>
      <c r="D37" s="6" t="s">
        <v>63</v>
      </c>
    </row>
    <row r="38" spans="1:17" ht="15" thickBot="1" x14ac:dyDescent="0.35">
      <c r="A38" s="38" t="s">
        <v>64</v>
      </c>
      <c r="B38" s="45">
        <v>41760</v>
      </c>
      <c r="C38" s="4" t="s">
        <v>24</v>
      </c>
      <c r="D38" s="6" t="s">
        <v>65</v>
      </c>
    </row>
    <row r="39" spans="1:17" ht="15" thickBot="1" x14ac:dyDescent="0.35">
      <c r="A39" s="38" t="s">
        <v>66</v>
      </c>
      <c r="B39" s="45">
        <v>20</v>
      </c>
      <c r="C39" s="4" t="s">
        <v>67</v>
      </c>
    </row>
    <row r="40" spans="1:17" ht="15" thickBot="1" x14ac:dyDescent="0.35">
      <c r="A40" s="38" t="s">
        <v>68</v>
      </c>
      <c r="B40" s="45">
        <v>0</v>
      </c>
      <c r="C40" s="4" t="s">
        <v>69</v>
      </c>
    </row>
    <row r="41" spans="1:17" ht="15" thickBot="1" x14ac:dyDescent="0.35">
      <c r="A41" s="42" t="s">
        <v>70</v>
      </c>
      <c r="B41" s="45">
        <v>8472</v>
      </c>
      <c r="C41" s="4" t="s">
        <v>71</v>
      </c>
      <c r="D41" s="6" t="s">
        <v>72</v>
      </c>
    </row>
    <row r="42" spans="1:17" x14ac:dyDescent="0.3">
      <c r="A42" s="42" t="s">
        <v>73</v>
      </c>
      <c r="B42" s="45">
        <f>3*(10^6)</f>
        <v>3000000</v>
      </c>
      <c r="C42" s="4" t="s">
        <v>74</v>
      </c>
      <c r="D42" s="6" t="s">
        <v>56</v>
      </c>
    </row>
    <row r="43" spans="1:17" ht="15" thickBot="1" x14ac:dyDescent="0.35">
      <c r="B43" s="47"/>
    </row>
    <row r="44" spans="1:17" ht="16.2" thickBot="1" x14ac:dyDescent="0.4">
      <c r="A44" s="52" t="s">
        <v>124</v>
      </c>
      <c r="B44" s="46">
        <f>78.67/1000</f>
        <v>7.8670000000000004E-2</v>
      </c>
      <c r="C44" s="4" t="s">
        <v>48</v>
      </c>
      <c r="D44" s="6" t="s">
        <v>125</v>
      </c>
      <c r="J44" s="6"/>
    </row>
    <row r="45" spans="1:17" ht="16.2" thickBot="1" x14ac:dyDescent="0.35">
      <c r="A45" s="53" t="s">
        <v>133</v>
      </c>
      <c r="B45" s="46">
        <v>0.24399999999999999</v>
      </c>
      <c r="C45" s="4" t="s">
        <v>123</v>
      </c>
      <c r="D45" s="6" t="s">
        <v>126</v>
      </c>
      <c r="I45" t="s">
        <v>127</v>
      </c>
      <c r="J45" s="6" t="s">
        <v>128</v>
      </c>
      <c r="N45" t="s">
        <v>129</v>
      </c>
      <c r="O45" s="6" t="s">
        <v>130</v>
      </c>
    </row>
    <row r="46" spans="1:17" ht="16.2" thickBot="1" x14ac:dyDescent="0.4">
      <c r="A46" s="54" t="s">
        <v>132</v>
      </c>
      <c r="B46" s="46">
        <f>B35*B41*B44*B45</f>
        <v>13009.9285248</v>
      </c>
      <c r="C46" s="4" t="s">
        <v>69</v>
      </c>
    </row>
    <row r="47" spans="1:17" ht="16.2" thickBot="1" x14ac:dyDescent="0.4">
      <c r="A47" s="54" t="s">
        <v>134</v>
      </c>
      <c r="B47" s="46">
        <f>B35*B41*B45/1000</f>
        <v>165.37344000000002</v>
      </c>
      <c r="C47" s="4" t="s">
        <v>131</v>
      </c>
      <c r="G47" t="s">
        <v>137</v>
      </c>
      <c r="H47">
        <f>16769.6</f>
        <v>16769.599999999999</v>
      </c>
      <c r="I47" t="s">
        <v>138</v>
      </c>
    </row>
    <row r="48" spans="1:17" ht="15" thickBot="1" x14ac:dyDescent="0.35">
      <c r="B48" s="47"/>
    </row>
    <row r="49" spans="1:13" ht="15" thickBot="1" x14ac:dyDescent="0.35">
      <c r="A49" s="43" t="s">
        <v>75</v>
      </c>
      <c r="B49" s="46">
        <f>(B22+B23+(B24+B25)*B35*B41+B26)</f>
        <v>185660.87000000002</v>
      </c>
      <c r="C49" s="4" t="s">
        <v>38</v>
      </c>
      <c r="E49" t="s">
        <v>135</v>
      </c>
      <c r="F49" t="s">
        <v>141</v>
      </c>
      <c r="G49" t="s">
        <v>139</v>
      </c>
      <c r="H49" s="47">
        <v>489574</v>
      </c>
    </row>
    <row r="50" spans="1:13" ht="15" thickBot="1" x14ac:dyDescent="0.35">
      <c r="A50" s="43" t="s">
        <v>76</v>
      </c>
      <c r="B50" s="45">
        <f>$G$75</f>
        <v>2598779.0688260868</v>
      </c>
      <c r="C50" s="4" t="s">
        <v>38</v>
      </c>
      <c r="E50" t="s">
        <v>136</v>
      </c>
      <c r="G50" t="s">
        <v>140</v>
      </c>
      <c r="H50" s="47">
        <f>1.254*10^6</f>
        <v>1254000</v>
      </c>
      <c r="I50" t="s">
        <v>143</v>
      </c>
    </row>
    <row r="51" spans="1:13" ht="15" thickBot="1" x14ac:dyDescent="0.35">
      <c r="A51" s="43" t="s">
        <v>77</v>
      </c>
      <c r="B51" s="45">
        <f>B38+B36+B28</f>
        <v>47125.11</v>
      </c>
      <c r="C51" s="4" t="s">
        <v>38</v>
      </c>
      <c r="F51" t="s">
        <v>142</v>
      </c>
      <c r="G51" t="s">
        <v>139</v>
      </c>
      <c r="H51" s="47">
        <v>592961</v>
      </c>
    </row>
    <row r="52" spans="1:13" ht="15" thickBot="1" x14ac:dyDescent="0.35">
      <c r="A52" s="43" t="s">
        <v>78</v>
      </c>
      <c r="B52" s="45">
        <f>B50+B49+B46+B28</f>
        <v>2797630.9773508869</v>
      </c>
      <c r="C52" s="4" t="s">
        <v>38</v>
      </c>
      <c r="G52" t="s">
        <v>140</v>
      </c>
      <c r="H52" s="47">
        <f>1.014*10^6</f>
        <v>1014000</v>
      </c>
      <c r="L52" t="s">
        <v>148</v>
      </c>
      <c r="M52" s="47">
        <v>138000</v>
      </c>
    </row>
    <row r="53" spans="1:13" ht="15" thickBot="1" x14ac:dyDescent="0.35">
      <c r="A53" s="43" t="s">
        <v>79</v>
      </c>
      <c r="B53" s="45">
        <f>B29+B34+B38</f>
        <v>244361.04</v>
      </c>
      <c r="C53" s="4" t="s">
        <v>38</v>
      </c>
      <c r="L53" t="s">
        <v>144</v>
      </c>
      <c r="M53" s="47">
        <f>(H47/B35)*B42</f>
        <v>628859999.99999988</v>
      </c>
    </row>
    <row r="54" spans="1:13" x14ac:dyDescent="0.3">
      <c r="A54" s="44" t="s">
        <v>80</v>
      </c>
      <c r="B54" s="45">
        <f>B51+B52</f>
        <v>2844756.0873508868</v>
      </c>
      <c r="C54" s="4" t="s">
        <v>38</v>
      </c>
      <c r="K54" t="s">
        <v>145</v>
      </c>
      <c r="L54" t="s">
        <v>147</v>
      </c>
      <c r="M54" s="47">
        <f>H49+M52</f>
        <v>627574</v>
      </c>
    </row>
    <row r="55" spans="1:13" ht="15" thickBot="1" x14ac:dyDescent="0.35">
      <c r="B55" s="47"/>
      <c r="K55" t="s">
        <v>146</v>
      </c>
      <c r="L55" t="s">
        <v>147</v>
      </c>
      <c r="M55" s="47">
        <f>H51+M52</f>
        <v>730961</v>
      </c>
    </row>
    <row r="56" spans="1:13" ht="15" thickBot="1" x14ac:dyDescent="0.35">
      <c r="A56" s="51" t="s">
        <v>81</v>
      </c>
      <c r="B56" s="45">
        <f>234*(10^8)</f>
        <v>23400000000</v>
      </c>
      <c r="C56" s="4" t="s">
        <v>82</v>
      </c>
      <c r="D56" s="6" t="s">
        <v>83</v>
      </c>
    </row>
    <row r="57" spans="1:13" ht="15" thickBot="1" x14ac:dyDescent="0.35">
      <c r="A57" s="51" t="s">
        <v>84</v>
      </c>
      <c r="B57" s="45">
        <f>28753000000</f>
        <v>28753000000</v>
      </c>
      <c r="C57" s="4" t="s">
        <v>69</v>
      </c>
      <c r="D57" s="6" t="s">
        <v>83</v>
      </c>
      <c r="M57" s="47"/>
    </row>
    <row r="58" spans="1:13" ht="15" thickBot="1" x14ac:dyDescent="0.35">
      <c r="A58" s="51" t="s">
        <v>85</v>
      </c>
      <c r="B58" s="45">
        <f>B57/B56</f>
        <v>1.2287606837606837</v>
      </c>
      <c r="C58" s="4" t="s">
        <v>86</v>
      </c>
    </row>
    <row r="59" spans="1:13" ht="15" thickBot="1" x14ac:dyDescent="0.35">
      <c r="A59" s="51" t="s">
        <v>87</v>
      </c>
      <c r="B59" s="45">
        <f>B42*B61</f>
        <v>2340000</v>
      </c>
      <c r="C59" s="4" t="s">
        <v>82</v>
      </c>
      <c r="D59" s="6" t="s">
        <v>88</v>
      </c>
    </row>
    <row r="60" spans="1:13" ht="15" thickBot="1" x14ac:dyDescent="0.35">
      <c r="A60" s="51" t="s">
        <v>89</v>
      </c>
      <c r="B60" s="45">
        <f>B59*B58</f>
        <v>2875300</v>
      </c>
      <c r="C60" s="4" t="s">
        <v>69</v>
      </c>
    </row>
    <row r="61" spans="1:13" x14ac:dyDescent="0.3">
      <c r="A61" s="51" t="s">
        <v>90</v>
      </c>
      <c r="B61" s="45">
        <v>0.78</v>
      </c>
      <c r="C61" s="4"/>
      <c r="D61" s="6" t="s">
        <v>91</v>
      </c>
    </row>
    <row r="62" spans="1:13" x14ac:dyDescent="0.3">
      <c r="B62" s="47"/>
    </row>
    <row r="63" spans="1:13" x14ac:dyDescent="0.3">
      <c r="A63" s="39" t="s">
        <v>92</v>
      </c>
      <c r="B63" s="48">
        <v>0.25800000000000001</v>
      </c>
      <c r="C63" s="39"/>
      <c r="D63" s="6" t="s">
        <v>93</v>
      </c>
    </row>
    <row r="64" spans="1:13" x14ac:dyDescent="0.3">
      <c r="A64" s="39" t="s">
        <v>94</v>
      </c>
      <c r="B64" s="48">
        <v>0.19</v>
      </c>
      <c r="C64" s="39"/>
      <c r="D64" s="6" t="s">
        <v>93</v>
      </c>
    </row>
    <row r="65" spans="1:9" x14ac:dyDescent="0.3">
      <c r="A65" s="39" t="s">
        <v>95</v>
      </c>
      <c r="B65" s="48"/>
      <c r="C65" s="39" t="s">
        <v>96</v>
      </c>
    </row>
    <row r="66" spans="1:9" x14ac:dyDescent="0.3">
      <c r="A66" s="39" t="s">
        <v>97</v>
      </c>
      <c r="B66" s="48">
        <f>B12+B13*B14</f>
        <v>6.7604589371980786E-2</v>
      </c>
      <c r="C66" s="39">
        <v>6.7599999999999993E-2</v>
      </c>
    </row>
    <row r="67" spans="1:9" x14ac:dyDescent="0.3">
      <c r="I67" s="41" t="s">
        <v>4</v>
      </c>
    </row>
    <row r="68" spans="1:9" x14ac:dyDescent="0.3">
      <c r="A68" s="25" t="s">
        <v>98</v>
      </c>
      <c r="B68" s="25"/>
      <c r="C68" s="49" t="s">
        <v>99</v>
      </c>
      <c r="D68" s="50"/>
      <c r="E68" s="35" t="s">
        <v>100</v>
      </c>
      <c r="F68" s="22" t="s">
        <v>101</v>
      </c>
      <c r="G68" s="22" t="s">
        <v>102</v>
      </c>
      <c r="H68" s="22"/>
      <c r="I68" s="6" t="s">
        <v>103</v>
      </c>
    </row>
    <row r="69" spans="1:9" x14ac:dyDescent="0.3">
      <c r="A69" s="17" t="s">
        <v>104</v>
      </c>
      <c r="B69" s="17">
        <v>1</v>
      </c>
      <c r="C69" s="36" t="s">
        <v>105</v>
      </c>
      <c r="D69" s="37" t="s">
        <v>106</v>
      </c>
      <c r="E69" s="34"/>
      <c r="F69" s="24" t="s">
        <v>107</v>
      </c>
      <c r="G69" s="24" t="s">
        <v>108</v>
      </c>
      <c r="H69" s="22" t="s">
        <v>109</v>
      </c>
    </row>
    <row r="70" spans="1:9" x14ac:dyDescent="0.3">
      <c r="A70" s="17" t="s">
        <v>110</v>
      </c>
      <c r="B70" s="18">
        <f xml:space="preserve"> B69 * 1.004974775</f>
        <v>1.004974775</v>
      </c>
      <c r="C70" s="27" t="s">
        <v>111</v>
      </c>
      <c r="D70" s="32">
        <f xml:space="preserve"> 0.95</f>
        <v>0.95</v>
      </c>
      <c r="E70" s="26">
        <f>(B27+B30)/1000</f>
        <v>1.887E-3</v>
      </c>
      <c r="F70" s="15">
        <f>$B$73 *D70</f>
        <v>2223000</v>
      </c>
      <c r="G70" s="15">
        <f>F70* (E70)</f>
        <v>4194.8010000000004</v>
      </c>
      <c r="H70" s="14" t="s">
        <v>112</v>
      </c>
    </row>
    <row r="71" spans="1:9" x14ac:dyDescent="0.3">
      <c r="A71" s="20"/>
      <c r="B71" s="20"/>
      <c r="C71" s="27" t="s">
        <v>113</v>
      </c>
      <c r="D71" s="32">
        <v>0.2</v>
      </c>
      <c r="E71" s="28">
        <f>B31</f>
        <v>2.08</v>
      </c>
      <c r="F71" s="15">
        <f>$B$73 *D71</f>
        <v>468000</v>
      </c>
      <c r="G71" s="14">
        <f>F71*E71</f>
        <v>973440</v>
      </c>
      <c r="H71" s="14" t="s">
        <v>112</v>
      </c>
    </row>
    <row r="72" spans="1:9" x14ac:dyDescent="0.3">
      <c r="A72" s="25" t="s">
        <v>114</v>
      </c>
      <c r="B72" s="25"/>
      <c r="C72" s="27" t="s">
        <v>115</v>
      </c>
      <c r="D72" s="32">
        <v>2E-3</v>
      </c>
      <c r="E72" s="28">
        <f>(B32)</f>
        <v>36.344000000000001</v>
      </c>
      <c r="F72" s="15">
        <f>$B$73 *D72</f>
        <v>4680</v>
      </c>
      <c r="G72" s="14">
        <f>F72*E72</f>
        <v>170089.92</v>
      </c>
      <c r="H72" s="14" t="s">
        <v>112</v>
      </c>
    </row>
    <row r="73" spans="1:9" x14ac:dyDescent="0.3">
      <c r="A73" s="17" t="s">
        <v>116</v>
      </c>
      <c r="B73" s="19">
        <f>B59</f>
        <v>2340000</v>
      </c>
      <c r="C73" s="27" t="s">
        <v>117</v>
      </c>
      <c r="D73" s="32">
        <v>5.0000000000000001E-4</v>
      </c>
      <c r="E73" s="29">
        <f>(B33 * (1000/11.5))</f>
        <v>560.86956521739137</v>
      </c>
      <c r="F73" s="15">
        <f>($B$73 *D73) /4</f>
        <v>292.5</v>
      </c>
      <c r="G73" s="15">
        <f>(F73* E73)</f>
        <v>164054.34782608697</v>
      </c>
      <c r="H73" s="14" t="s">
        <v>112</v>
      </c>
    </row>
    <row r="74" spans="1:9" x14ac:dyDescent="0.3">
      <c r="A74" s="17" t="s">
        <v>118</v>
      </c>
      <c r="B74" s="18">
        <f xml:space="preserve"> B73 * B70</f>
        <v>2351640.9734999998</v>
      </c>
      <c r="C74" s="30" t="s">
        <v>119</v>
      </c>
      <c r="D74" s="33">
        <v>0.55000000000000004</v>
      </c>
      <c r="E74" s="31" t="s">
        <v>120</v>
      </c>
      <c r="F74" s="16" t="s">
        <v>120</v>
      </c>
      <c r="G74" s="14">
        <f>D74*B73</f>
        <v>1287000</v>
      </c>
      <c r="H74" s="14" t="s">
        <v>112</v>
      </c>
    </row>
    <row r="75" spans="1:9" x14ac:dyDescent="0.3">
      <c r="A75" s="21"/>
      <c r="B75" s="21"/>
      <c r="C75" s="21"/>
      <c r="F75" s="22" t="s">
        <v>121</v>
      </c>
      <c r="G75" s="23">
        <f>SUM(G70:G74)</f>
        <v>2598779.0688260868</v>
      </c>
      <c r="H75" s="24" t="s">
        <v>112</v>
      </c>
    </row>
    <row r="76" spans="1:9" x14ac:dyDescent="0.3">
      <c r="F76" t="s">
        <v>122</v>
      </c>
      <c r="G76" s="3">
        <f>SUM(G70:G73)</f>
        <v>1311779.0688260868</v>
      </c>
    </row>
  </sheetData>
  <mergeCells count="2">
    <mergeCell ref="G4:H13"/>
    <mergeCell ref="A6:D8"/>
  </mergeCells>
  <phoneticPr fontId="3" type="noConversion"/>
  <hyperlinks>
    <hyperlink ref="C10" r:id="rId1" xr:uid="{4CB1809D-8696-46D1-8B1C-DB5EC6FD75CC}"/>
    <hyperlink ref="D27" r:id="rId2" xr:uid="{B50C283E-3B81-47F3-B25D-39E5E0B3490A}"/>
    <hyperlink ref="D28" r:id="rId3" xr:uid="{655A817F-2684-40F0-A530-289F9B7FB844}"/>
    <hyperlink ref="D29" r:id="rId4" xr:uid="{CBA24E5E-7C84-4BDB-90F9-5B9C171A7968}"/>
    <hyperlink ref="D30" r:id="rId5" xr:uid="{CB45CA67-04F1-4930-B034-07B04EBF2A1D}"/>
    <hyperlink ref="D18" r:id="rId6" location="FixedSupplyRateFixedAndVariable_2" xr:uid="{AA89B0F3-03F0-46AC-932F-997C8F0D8CF0}"/>
    <hyperlink ref="D63" r:id="rId7" xr:uid="{2C70260E-3E6A-411B-8FEA-00A14989A548}"/>
    <hyperlink ref="D64" r:id="rId8" xr:uid="{415797D8-13C3-4994-BB3F-5F1851354996}"/>
    <hyperlink ref="D32" r:id="rId9" xr:uid="{C87244C9-C534-4540-996C-1B264393584A}"/>
    <hyperlink ref="D33" r:id="rId10" xr:uid="{E7CE0583-AC27-4E35-94D6-4B97B71D2A53}"/>
    <hyperlink ref="C11" r:id="rId11" xr:uid="{CF08DDC0-E6A3-4B92-AC0A-5A03063258C9}"/>
    <hyperlink ref="C13" r:id="rId12" xr:uid="{45929533-3107-4A6A-8C10-7D773B53E245}"/>
    <hyperlink ref="D31" r:id="rId13" xr:uid="{831AD7A5-A012-409F-8BB9-A5953222E15D}"/>
    <hyperlink ref="D19:D26" r:id="rId14" location="FixedSupplyRateFixedAndVariable_2" display="https://www.cbs.nl/en-gb/figures/detail/85592ENG#FixedSupplyRateFixedAndVariable_2" xr:uid="{00597A4D-BC9F-427C-9E95-226B33B25F1F}"/>
    <hyperlink ref="D38" r:id="rId15" xr:uid="{B52435D3-11A5-429C-91D1-6B72DBA0E389}"/>
    <hyperlink ref="D41" r:id="rId16" display="https://www.scribd.com/document/260641162/Wolfgang-Kunze-Technology-Brewing-and-Malting" xr:uid="{F5822519-05CF-4FA1-A13A-DB4014ACEF1F}"/>
    <hyperlink ref="C14" r:id="rId17" xr:uid="{E291C859-EB04-4A1D-A8D8-531613006367}"/>
    <hyperlink ref="D61" r:id="rId18" xr:uid="{41BBF3E0-CF06-450A-8BC6-9B009D322D44}"/>
    <hyperlink ref="D56" r:id="rId19" xr:uid="{E95BFABC-3B12-4A51-B718-C7D590EC7834}"/>
    <hyperlink ref="D57" r:id="rId20" xr:uid="{760E4292-D900-4637-850B-9B7B1DE29452}"/>
    <hyperlink ref="D42" r:id="rId21" xr:uid="{12436FC1-9C5C-43CD-A40F-C6FE8C3BEC14}"/>
    <hyperlink ref="D34" r:id="rId22" xr:uid="{E75CAA24-2453-4C70-812E-DE2C873717FD}"/>
    <hyperlink ref="D59" r:id="rId23" xr:uid="{4B6B9E72-E60F-45CA-A2A3-05D0EA9A7A38}"/>
    <hyperlink ref="D36" r:id="rId24" xr:uid="{0E479267-0566-4763-91F0-85982CF6D6B4}"/>
    <hyperlink ref="D35" r:id="rId25" xr:uid="{D030DAF6-A470-4778-BE93-6B5B5E37A20F}"/>
    <hyperlink ref="I68" r:id="rId26" xr:uid="{0642AE88-A437-464D-9DAA-92DB2F4CB1B4}"/>
    <hyperlink ref="D37" r:id="rId27" xr:uid="{EB43095E-0CFE-4683-95F1-AB476912D856}"/>
    <hyperlink ref="D44" r:id="rId28" xr:uid="{765B3FF8-3216-4FEF-8A5E-E3642DE2FCAE}"/>
    <hyperlink ref="D45" r:id="rId29" xr:uid="{9230D8D9-E5B1-4BE3-9F9E-B482F5298DD5}"/>
    <hyperlink ref="J45" r:id="rId30" xr:uid="{75F8537A-BE15-4090-8793-2100B96591F1}"/>
    <hyperlink ref="O45" r:id="rId31" xr:uid="{BC37890E-AC1B-4116-BFD2-D38E6EB17700}"/>
  </hyperlinks>
  <pageMargins left="0.7" right="0.7" top="0.75" bottom="0.75" header="0.3" footer="0.3"/>
  <legacyDrawing r:id="rId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FCB2-F0ED-4A9A-93E6-84ACD920E490}">
  <dimension ref="A1:AD188"/>
  <sheetViews>
    <sheetView topLeftCell="A17" zoomScale="85" zoomScaleNormal="85" workbookViewId="0">
      <selection activeCell="A69" sqref="A69"/>
    </sheetView>
  </sheetViews>
  <sheetFormatPr defaultRowHeight="14.4" x14ac:dyDescent="0.3"/>
  <cols>
    <col min="1" max="1" width="100.44140625" bestFit="1" customWidth="1"/>
    <col min="2" max="2" width="21.21875" bestFit="1" customWidth="1"/>
    <col min="3" max="3" width="17.5546875" bestFit="1" customWidth="1"/>
    <col min="4" max="4" width="11.77734375" customWidth="1"/>
    <col min="5" max="5" width="12.21875" customWidth="1"/>
    <col min="6" max="6" width="36.77734375" bestFit="1" customWidth="1"/>
    <col min="7" max="7" width="27.21875" bestFit="1" customWidth="1"/>
    <col min="8" max="8" width="14.21875" bestFit="1" customWidth="1"/>
    <col min="9" max="30" width="20.77734375" customWidth="1"/>
  </cols>
  <sheetData>
    <row r="1" spans="1:30" ht="25.8" customHeight="1" x14ac:dyDescent="0.3">
      <c r="A1" s="73" t="s">
        <v>198</v>
      </c>
      <c r="B1" s="73"/>
      <c r="C1" s="73"/>
    </row>
    <row r="2" spans="1:30" x14ac:dyDescent="0.3">
      <c r="A2" s="73"/>
      <c r="B2" s="73"/>
      <c r="C2" s="73"/>
    </row>
    <row r="3" spans="1:30" x14ac:dyDescent="0.3">
      <c r="A3" s="73"/>
      <c r="B3" s="73"/>
      <c r="C3" s="73"/>
    </row>
    <row r="4" spans="1:30" x14ac:dyDescent="0.3">
      <c r="G4" s="119" t="s">
        <v>201</v>
      </c>
      <c r="H4" s="120"/>
      <c r="I4" s="97" t="s">
        <v>199</v>
      </c>
      <c r="J4" s="95">
        <v>0</v>
      </c>
      <c r="K4" s="95">
        <v>1</v>
      </c>
      <c r="L4" s="95">
        <v>2</v>
      </c>
      <c r="M4" s="95">
        <v>3</v>
      </c>
      <c r="N4" s="95">
        <v>4</v>
      </c>
      <c r="O4" s="95">
        <v>5</v>
      </c>
      <c r="P4" s="95">
        <v>6</v>
      </c>
      <c r="Q4" s="95">
        <v>7</v>
      </c>
      <c r="R4" s="95">
        <v>8</v>
      </c>
      <c r="S4" s="95">
        <v>9</v>
      </c>
      <c r="T4" s="95">
        <v>10</v>
      </c>
      <c r="U4" s="95">
        <v>11</v>
      </c>
      <c r="V4" s="95">
        <v>12</v>
      </c>
      <c r="W4" s="95">
        <v>13</v>
      </c>
      <c r="X4" s="95">
        <v>14</v>
      </c>
      <c r="Y4" s="95">
        <v>15</v>
      </c>
      <c r="Z4" s="95">
        <v>16</v>
      </c>
      <c r="AA4" s="95">
        <v>17</v>
      </c>
      <c r="AB4" s="95">
        <v>18</v>
      </c>
      <c r="AC4" s="95">
        <v>19</v>
      </c>
      <c r="AD4" s="96">
        <v>20</v>
      </c>
    </row>
    <row r="5" spans="1:30" x14ac:dyDescent="0.3">
      <c r="G5" s="121"/>
      <c r="H5" s="122"/>
      <c r="I5" s="89" t="s">
        <v>0</v>
      </c>
      <c r="J5" s="79">
        <f>-B50</f>
        <v>-40000000</v>
      </c>
      <c r="K5" s="79">
        <f t="shared" ref="K5:AD5" si="0">-$B$48</f>
        <v>-4138181.11</v>
      </c>
      <c r="L5" s="79">
        <f t="shared" si="0"/>
        <v>-4138181.11</v>
      </c>
      <c r="M5" s="79">
        <f t="shared" si="0"/>
        <v>-4138181.11</v>
      </c>
      <c r="N5" s="79">
        <f t="shared" si="0"/>
        <v>-4138181.11</v>
      </c>
      <c r="O5" s="79">
        <f t="shared" si="0"/>
        <v>-4138181.11</v>
      </c>
      <c r="P5" s="79">
        <f t="shared" si="0"/>
        <v>-4138181.11</v>
      </c>
      <c r="Q5" s="79">
        <f t="shared" si="0"/>
        <v>-4138181.11</v>
      </c>
      <c r="R5" s="79">
        <f t="shared" si="0"/>
        <v>-4138181.11</v>
      </c>
      <c r="S5" s="79">
        <f t="shared" si="0"/>
        <v>-4138181.11</v>
      </c>
      <c r="T5" s="79">
        <f t="shared" si="0"/>
        <v>-4138181.11</v>
      </c>
      <c r="U5" s="79">
        <f t="shared" si="0"/>
        <v>-4138181.11</v>
      </c>
      <c r="V5" s="79">
        <f t="shared" si="0"/>
        <v>-4138181.11</v>
      </c>
      <c r="W5" s="79">
        <f t="shared" si="0"/>
        <v>-4138181.11</v>
      </c>
      <c r="X5" s="79">
        <f t="shared" si="0"/>
        <v>-4138181.11</v>
      </c>
      <c r="Y5" s="79">
        <f t="shared" si="0"/>
        <v>-4138181.11</v>
      </c>
      <c r="Z5" s="79">
        <f t="shared" si="0"/>
        <v>-4138181.11</v>
      </c>
      <c r="AA5" s="79">
        <f t="shared" si="0"/>
        <v>-4138181.11</v>
      </c>
      <c r="AB5" s="79">
        <f t="shared" si="0"/>
        <v>-4138181.11</v>
      </c>
      <c r="AC5" s="79">
        <f t="shared" si="0"/>
        <v>-4138181.11</v>
      </c>
      <c r="AD5" s="80">
        <f t="shared" si="0"/>
        <v>-4138181.11</v>
      </c>
    </row>
    <row r="6" spans="1:30" x14ac:dyDescent="0.3">
      <c r="C6" s="41" t="s">
        <v>4</v>
      </c>
      <c r="G6" s="121"/>
      <c r="H6" s="122"/>
      <c r="I6" s="90" t="s">
        <v>1</v>
      </c>
      <c r="J6" s="81">
        <v>0</v>
      </c>
      <c r="K6" s="81">
        <f t="shared" ref="K6:AD6" si="1">-$B$49</f>
        <v>-453111477.72875196</v>
      </c>
      <c r="L6" s="81">
        <f t="shared" si="1"/>
        <v>-453111477.72875196</v>
      </c>
      <c r="M6" s="81">
        <f t="shared" si="1"/>
        <v>-453111477.72875196</v>
      </c>
      <c r="N6" s="81">
        <f t="shared" si="1"/>
        <v>-453111477.72875196</v>
      </c>
      <c r="O6" s="81">
        <f t="shared" si="1"/>
        <v>-453111477.72875196</v>
      </c>
      <c r="P6" s="81">
        <f t="shared" si="1"/>
        <v>-453111477.72875196</v>
      </c>
      <c r="Q6" s="81">
        <f t="shared" si="1"/>
        <v>-453111477.72875196</v>
      </c>
      <c r="R6" s="81">
        <f t="shared" si="1"/>
        <v>-453111477.72875196</v>
      </c>
      <c r="S6" s="81">
        <f t="shared" si="1"/>
        <v>-453111477.72875196</v>
      </c>
      <c r="T6" s="81">
        <f t="shared" si="1"/>
        <v>-453111477.72875196</v>
      </c>
      <c r="U6" s="81">
        <f t="shared" si="1"/>
        <v>-453111477.72875196</v>
      </c>
      <c r="V6" s="81">
        <f t="shared" si="1"/>
        <v>-453111477.72875196</v>
      </c>
      <c r="W6" s="81">
        <f t="shared" si="1"/>
        <v>-453111477.72875196</v>
      </c>
      <c r="X6" s="81">
        <f t="shared" si="1"/>
        <v>-453111477.72875196</v>
      </c>
      <c r="Y6" s="81">
        <f t="shared" si="1"/>
        <v>-453111477.72875196</v>
      </c>
      <c r="Z6" s="81">
        <f t="shared" si="1"/>
        <v>-453111477.72875196</v>
      </c>
      <c r="AA6" s="81">
        <f t="shared" si="1"/>
        <v>-453111477.72875196</v>
      </c>
      <c r="AB6" s="81">
        <f t="shared" si="1"/>
        <v>-453111477.72875196</v>
      </c>
      <c r="AC6" s="81">
        <f t="shared" si="1"/>
        <v>-453111477.72875196</v>
      </c>
      <c r="AD6" s="82">
        <f t="shared" si="1"/>
        <v>-453111477.72875196</v>
      </c>
    </row>
    <row r="7" spans="1:30" x14ac:dyDescent="0.3">
      <c r="A7" s="55" t="s">
        <v>6</v>
      </c>
      <c r="B7" s="125">
        <v>3.5000000000000003E-2</v>
      </c>
      <c r="C7" s="6" t="s">
        <v>7</v>
      </c>
      <c r="G7" s="121"/>
      <c r="H7" s="122"/>
      <c r="I7" s="91" t="s">
        <v>2</v>
      </c>
      <c r="J7" s="83">
        <v>0</v>
      </c>
      <c r="K7" s="83">
        <f t="shared" ref="K7:AD7" si="2">$B$57</f>
        <v>453639306.76342326</v>
      </c>
      <c r="L7" s="83">
        <f t="shared" si="2"/>
        <v>453639306.76342326</v>
      </c>
      <c r="M7" s="83">
        <f t="shared" si="2"/>
        <v>453639306.76342326</v>
      </c>
      <c r="N7" s="83">
        <f t="shared" si="2"/>
        <v>453639306.76342326</v>
      </c>
      <c r="O7" s="83">
        <f t="shared" si="2"/>
        <v>453639306.76342326</v>
      </c>
      <c r="P7" s="83">
        <f t="shared" si="2"/>
        <v>453639306.76342326</v>
      </c>
      <c r="Q7" s="83">
        <f t="shared" si="2"/>
        <v>453639306.76342326</v>
      </c>
      <c r="R7" s="83">
        <f t="shared" si="2"/>
        <v>453639306.76342326</v>
      </c>
      <c r="S7" s="83">
        <f t="shared" si="2"/>
        <v>453639306.76342326</v>
      </c>
      <c r="T7" s="83">
        <f t="shared" si="2"/>
        <v>453639306.76342326</v>
      </c>
      <c r="U7" s="83">
        <f t="shared" si="2"/>
        <v>453639306.76342326</v>
      </c>
      <c r="V7" s="83">
        <f t="shared" si="2"/>
        <v>453639306.76342326</v>
      </c>
      <c r="W7" s="83">
        <f t="shared" si="2"/>
        <v>453639306.76342326</v>
      </c>
      <c r="X7" s="83">
        <f t="shared" si="2"/>
        <v>453639306.76342326</v>
      </c>
      <c r="Y7" s="83">
        <f t="shared" si="2"/>
        <v>453639306.76342326</v>
      </c>
      <c r="Z7" s="83">
        <f t="shared" si="2"/>
        <v>453639306.76342326</v>
      </c>
      <c r="AA7" s="83">
        <f t="shared" si="2"/>
        <v>453639306.76342326</v>
      </c>
      <c r="AB7" s="83">
        <f t="shared" si="2"/>
        <v>453639306.76342326</v>
      </c>
      <c r="AC7" s="83">
        <f t="shared" si="2"/>
        <v>453639306.76342326</v>
      </c>
      <c r="AD7" s="84">
        <f t="shared" si="2"/>
        <v>453639306.76342326</v>
      </c>
    </row>
    <row r="8" spans="1:30" x14ac:dyDescent="0.3">
      <c r="A8" s="55" t="s">
        <v>9</v>
      </c>
      <c r="B8" s="126">
        <v>0.06</v>
      </c>
      <c r="C8" s="6" t="s">
        <v>10</v>
      </c>
      <c r="G8" s="121"/>
      <c r="H8" s="122"/>
      <c r="I8" s="91" t="s">
        <v>3</v>
      </c>
      <c r="J8" s="83">
        <f>SUM(J5:J7)</f>
        <v>-40000000</v>
      </c>
      <c r="K8" s="83">
        <f>SUM(K5:K7)</f>
        <v>-3610352.0753287077</v>
      </c>
      <c r="L8" s="83">
        <f t="shared" ref="L8:AD8" si="3">SUM(L5:L7)</f>
        <v>-3610352.0753287077</v>
      </c>
      <c r="M8" s="83">
        <f t="shared" si="3"/>
        <v>-3610352.0753287077</v>
      </c>
      <c r="N8" s="83">
        <f t="shared" si="3"/>
        <v>-3610352.0753287077</v>
      </c>
      <c r="O8" s="83">
        <f t="shared" si="3"/>
        <v>-3610352.0753287077</v>
      </c>
      <c r="P8" s="83">
        <f t="shared" si="3"/>
        <v>-3610352.0753287077</v>
      </c>
      <c r="Q8" s="83">
        <f t="shared" si="3"/>
        <v>-3610352.0753287077</v>
      </c>
      <c r="R8" s="83">
        <f t="shared" si="3"/>
        <v>-3610352.0753287077</v>
      </c>
      <c r="S8" s="83">
        <f t="shared" si="3"/>
        <v>-3610352.0753287077</v>
      </c>
      <c r="T8" s="83">
        <f t="shared" si="3"/>
        <v>-3610352.0753287077</v>
      </c>
      <c r="U8" s="83">
        <f t="shared" si="3"/>
        <v>-3610352.0753287077</v>
      </c>
      <c r="V8" s="83">
        <f t="shared" si="3"/>
        <v>-3610352.0753287077</v>
      </c>
      <c r="W8" s="83">
        <f t="shared" si="3"/>
        <v>-3610352.0753287077</v>
      </c>
      <c r="X8" s="83">
        <f t="shared" si="3"/>
        <v>-3610352.0753287077</v>
      </c>
      <c r="Y8" s="83">
        <f t="shared" si="3"/>
        <v>-3610352.0753287077</v>
      </c>
      <c r="Z8" s="83">
        <f t="shared" si="3"/>
        <v>-3610352.0753287077</v>
      </c>
      <c r="AA8" s="83">
        <f t="shared" si="3"/>
        <v>-3610352.0753287077</v>
      </c>
      <c r="AB8" s="83">
        <f t="shared" si="3"/>
        <v>-3610352.0753287077</v>
      </c>
      <c r="AC8" s="83">
        <f t="shared" si="3"/>
        <v>-3610352.0753287077</v>
      </c>
      <c r="AD8" s="84">
        <f t="shared" si="3"/>
        <v>-3610352.0753287077</v>
      </c>
    </row>
    <row r="9" spans="1:30" x14ac:dyDescent="0.3">
      <c r="A9" s="55" t="s">
        <v>12</v>
      </c>
      <c r="B9" s="125">
        <f>((1+B8)/(1+B7))-1</f>
        <v>2.4154589371980784E-2</v>
      </c>
      <c r="C9" s="6"/>
      <c r="G9" s="121"/>
      <c r="H9" s="122"/>
      <c r="I9" s="91" t="s">
        <v>5</v>
      </c>
      <c r="J9" s="83">
        <f>SUM(J6:J8)</f>
        <v>-40000000</v>
      </c>
      <c r="K9" s="83">
        <f>(1-$B$61)*K8-38000</f>
        <v>-2962385.1810162533</v>
      </c>
      <c r="L9" s="83">
        <f t="shared" ref="L9:AD9" si="4">(1-$B$61)*L8-38000</f>
        <v>-2962385.1810162533</v>
      </c>
      <c r="M9" s="83">
        <f t="shared" si="4"/>
        <v>-2962385.1810162533</v>
      </c>
      <c r="N9" s="83">
        <f t="shared" si="4"/>
        <v>-2962385.1810162533</v>
      </c>
      <c r="O9" s="83">
        <f t="shared" si="4"/>
        <v>-2962385.1810162533</v>
      </c>
      <c r="P9" s="83">
        <f t="shared" si="4"/>
        <v>-2962385.1810162533</v>
      </c>
      <c r="Q9" s="83">
        <f t="shared" si="4"/>
        <v>-2962385.1810162533</v>
      </c>
      <c r="R9" s="83">
        <f t="shared" si="4"/>
        <v>-2962385.1810162533</v>
      </c>
      <c r="S9" s="83">
        <f t="shared" si="4"/>
        <v>-2962385.1810162533</v>
      </c>
      <c r="T9" s="83">
        <f t="shared" si="4"/>
        <v>-2962385.1810162533</v>
      </c>
      <c r="U9" s="83">
        <f t="shared" si="4"/>
        <v>-2962385.1810162533</v>
      </c>
      <c r="V9" s="83">
        <f t="shared" si="4"/>
        <v>-2962385.1810162533</v>
      </c>
      <c r="W9" s="83">
        <f t="shared" si="4"/>
        <v>-2962385.1810162533</v>
      </c>
      <c r="X9" s="83">
        <f t="shared" si="4"/>
        <v>-2962385.1810162533</v>
      </c>
      <c r="Y9" s="83">
        <f t="shared" si="4"/>
        <v>-2962385.1810162533</v>
      </c>
      <c r="Z9" s="83">
        <f t="shared" si="4"/>
        <v>-2962385.1810162533</v>
      </c>
      <c r="AA9" s="83">
        <f t="shared" si="4"/>
        <v>-2962385.1810162533</v>
      </c>
      <c r="AB9" s="83">
        <f t="shared" si="4"/>
        <v>-2962385.1810162533</v>
      </c>
      <c r="AC9" s="83">
        <f t="shared" si="4"/>
        <v>-2962385.1810162533</v>
      </c>
      <c r="AD9" s="84">
        <f t="shared" si="4"/>
        <v>-2962385.1810162533</v>
      </c>
    </row>
    <row r="10" spans="1:30" x14ac:dyDescent="0.3">
      <c r="A10" s="55" t="s">
        <v>14</v>
      </c>
      <c r="B10" s="127">
        <v>0.79</v>
      </c>
      <c r="C10" s="6" t="s">
        <v>15</v>
      </c>
      <c r="G10" s="121"/>
      <c r="H10" s="122"/>
      <c r="I10" s="92" t="s">
        <v>8</v>
      </c>
      <c r="J10" s="85">
        <f>J9</f>
        <v>-40000000</v>
      </c>
      <c r="K10" s="85">
        <f>PV($B$63,K4,,-K9)</f>
        <v>-2774796.22184734</v>
      </c>
      <c r="L10" s="85">
        <f>PV($B$63,L4,,-L9)</f>
        <v>-2599086.0750042452</v>
      </c>
      <c r="M10" s="85">
        <f>PV($B$63,M4,,-M9)</f>
        <v>-2434502.5310664498</v>
      </c>
      <c r="N10" s="85">
        <f>PV($B$63,N4,,-N9)</f>
        <v>-2280341.0132383825</v>
      </c>
      <c r="O10" s="85">
        <f>PV($B$63,O4,,-O9)</f>
        <v>-2135941.5610790835</v>
      </c>
      <c r="P10" s="85">
        <f>PV($B$63,P4,,-P9)</f>
        <v>-2000686.0052330354</v>
      </c>
      <c r="Q10" s="85">
        <f>PV($B$63,Q4,,-Q9)</f>
        <v>-1873995.3210672694</v>
      </c>
      <c r="R10" s="85">
        <f>PV($B$63,R4,,-R9)</f>
        <v>-1755327.1498857539</v>
      </c>
      <c r="S10" s="85">
        <f>PV($B$63,S4,,-S9)</f>
        <v>-1644173.4771094664</v>
      </c>
      <c r="T10" s="85">
        <f>PV($B$63,T4,,-T9)</f>
        <v>-1540058.4574825149</v>
      </c>
      <c r="U10" s="85">
        <f>PV($B$63,U4,,-U9)</f>
        <v>-1442536.3779940808</v>
      </c>
      <c r="V10" s="85">
        <f>PV($B$63,V4,,-V9)</f>
        <v>-1351189.7497955246</v>
      </c>
      <c r="W10" s="85">
        <f>PV($B$63,W4,,-W9)</f>
        <v>-1265627.5209442133</v>
      </c>
      <c r="X10" s="85">
        <f>PV($B$63,X4,,-X9)</f>
        <v>-1185483.4023228765</v>
      </c>
      <c r="Y10" s="85">
        <f>PV($B$63,Y4,,-Y9)</f>
        <v>-1110414.2995678184</v>
      </c>
      <c r="Z10" s="85">
        <f>PV($B$63,Z4,,-Z9)</f>
        <v>-1040098.844293111</v>
      </c>
      <c r="AA10" s="85">
        <f>PV($B$63,AA4,,-AA9)</f>
        <v>-974236.01832299167</v>
      </c>
      <c r="AB10" s="85">
        <f>PV($B$63,AB4,,-AB9)</f>
        <v>-912543.86504284944</v>
      </c>
      <c r="AC10" s="85">
        <f>PV($B$63,AC4,,-AC9)</f>
        <v>-854758.28235213389</v>
      </c>
      <c r="AD10" s="86">
        <f>PV($B$63,AD4,,-AD9)</f>
        <v>-800631.89205185615</v>
      </c>
    </row>
    <row r="11" spans="1:30" x14ac:dyDescent="0.3">
      <c r="A11" s="55" t="s">
        <v>17</v>
      </c>
      <c r="B11" s="125">
        <v>5.5E-2</v>
      </c>
      <c r="C11" s="6" t="s">
        <v>18</v>
      </c>
      <c r="G11" s="121"/>
      <c r="H11" s="122"/>
      <c r="I11" s="93" t="s">
        <v>11</v>
      </c>
      <c r="J11" s="87">
        <f>J10</f>
        <v>-40000000</v>
      </c>
      <c r="K11" s="87">
        <f>K10+J11</f>
        <v>-42774796.22184734</v>
      </c>
      <c r="L11" s="87">
        <f>L10+K11</f>
        <v>-45373882.296851583</v>
      </c>
      <c r="M11" s="87">
        <f>M10+L11</f>
        <v>-47808384.82791803</v>
      </c>
      <c r="N11" s="87">
        <f t="shared" ref="N11:AD11" si="5">N10+M11</f>
        <v>-50088725.841156416</v>
      </c>
      <c r="O11" s="87">
        <f t="shared" si="5"/>
        <v>-52224667.402235501</v>
      </c>
      <c r="P11" s="87">
        <f t="shared" si="5"/>
        <v>-54225353.407468535</v>
      </c>
      <c r="Q11" s="87">
        <f t="shared" si="5"/>
        <v>-56099348.728535801</v>
      </c>
      <c r="R11" s="87">
        <f>R10+Q11</f>
        <v>-57854675.878421552</v>
      </c>
      <c r="S11" s="87">
        <f t="shared" si="5"/>
        <v>-59498849.355531022</v>
      </c>
      <c r="T11" s="87">
        <f t="shared" si="5"/>
        <v>-61038907.813013539</v>
      </c>
      <c r="U11" s="87">
        <f t="shared" si="5"/>
        <v>-62481444.191007622</v>
      </c>
      <c r="V11" s="87">
        <f t="shared" si="5"/>
        <v>-63832633.940803148</v>
      </c>
      <c r="W11" s="87">
        <f t="shared" si="5"/>
        <v>-65098261.461747363</v>
      </c>
      <c r="X11" s="87">
        <f t="shared" si="5"/>
        <v>-66283744.864070237</v>
      </c>
      <c r="Y11" s="87">
        <f t="shared" si="5"/>
        <v>-67394159.163638055</v>
      </c>
      <c r="Z11" s="87">
        <f t="shared" si="5"/>
        <v>-68434258.007931173</v>
      </c>
      <c r="AA11" s="87">
        <f t="shared" si="5"/>
        <v>-69408494.026254162</v>
      </c>
      <c r="AB11" s="87">
        <f t="shared" si="5"/>
        <v>-70321037.891297013</v>
      </c>
      <c r="AC11" s="87">
        <f t="shared" si="5"/>
        <v>-71175796.173649147</v>
      </c>
      <c r="AD11" s="88">
        <f t="shared" si="5"/>
        <v>-71976428.065701008</v>
      </c>
    </row>
    <row r="12" spans="1:30" x14ac:dyDescent="0.3">
      <c r="A12" s="133" t="s">
        <v>202</v>
      </c>
      <c r="B12" s="128"/>
      <c r="C12" s="128"/>
      <c r="D12" s="128"/>
      <c r="E12" s="116"/>
      <c r="G12" s="121"/>
      <c r="H12" s="122"/>
      <c r="I12" s="77" t="s">
        <v>13</v>
      </c>
      <c r="J12" s="78" t="str">
        <f>IF(ISNUMBER(IRR(J9:AD9)),IRR(J9:AD9),"Loss Too Large")</f>
        <v>Loss Too Large</v>
      </c>
      <c r="K12" s="13"/>
      <c r="L12" s="13"/>
      <c r="M12" s="13"/>
      <c r="N12" s="13"/>
      <c r="O12" s="13"/>
      <c r="P12" s="13"/>
      <c r="Q12" s="13"/>
      <c r="R12" s="13"/>
      <c r="S12" s="13"/>
      <c r="T12" s="13"/>
      <c r="U12" s="13"/>
      <c r="V12" s="13"/>
      <c r="W12" s="13"/>
      <c r="X12" s="13"/>
      <c r="Y12" s="13"/>
      <c r="Z12" s="13"/>
      <c r="AA12" s="13"/>
      <c r="AB12" s="13"/>
      <c r="AC12" s="13"/>
      <c r="AD12" s="13"/>
    </row>
    <row r="13" spans="1:30" x14ac:dyDescent="0.3">
      <c r="A13" s="117"/>
      <c r="B13" s="129"/>
      <c r="C13" s="129"/>
      <c r="D13" s="129"/>
      <c r="E13" s="118"/>
      <c r="G13" s="123"/>
      <c r="H13" s="124"/>
      <c r="I13" s="76" t="s">
        <v>16</v>
      </c>
      <c r="J13" s="74">
        <f>NPV(C63,(K9:AD9))+J9</f>
        <v>-71977580.642442733</v>
      </c>
      <c r="K13" s="13"/>
      <c r="L13" s="13"/>
      <c r="M13" s="13"/>
      <c r="N13" s="13"/>
      <c r="O13" s="13"/>
      <c r="P13" s="13"/>
      <c r="Q13" s="13"/>
      <c r="R13" s="13"/>
      <c r="S13" s="13"/>
      <c r="T13" s="13"/>
      <c r="U13" s="13"/>
      <c r="V13" s="13"/>
      <c r="W13" s="13"/>
      <c r="X13" s="13"/>
      <c r="Y13" s="13"/>
      <c r="Z13" s="13"/>
      <c r="AA13" s="13"/>
      <c r="AB13" s="13"/>
      <c r="AC13" s="13"/>
      <c r="AD13" s="13"/>
    </row>
    <row r="14" spans="1:30" ht="15" thickBot="1" x14ac:dyDescent="0.35">
      <c r="A14" t="s">
        <v>197</v>
      </c>
      <c r="D14" s="41" t="s">
        <v>4</v>
      </c>
    </row>
    <row r="15" spans="1:30" ht="15" thickBot="1" x14ac:dyDescent="0.35">
      <c r="A15" s="7" t="s">
        <v>20</v>
      </c>
      <c r="B15" s="70">
        <v>268.37</v>
      </c>
      <c r="C15" s="4" t="s">
        <v>21</v>
      </c>
      <c r="D15" s="6" t="s">
        <v>22</v>
      </c>
    </row>
    <row r="16" spans="1:30" ht="15" thickBot="1" x14ac:dyDescent="0.35">
      <c r="A16" s="7" t="s">
        <v>23</v>
      </c>
      <c r="B16" s="70">
        <v>92.61</v>
      </c>
      <c r="C16" s="4" t="s">
        <v>24</v>
      </c>
      <c r="D16" s="6" t="s">
        <v>25</v>
      </c>
    </row>
    <row r="17" spans="1:10" ht="15" thickBot="1" x14ac:dyDescent="0.35">
      <c r="A17" s="7" t="s">
        <v>26</v>
      </c>
      <c r="B17" s="70">
        <v>0.57830000000000004</v>
      </c>
      <c r="C17" s="4" t="s">
        <v>27</v>
      </c>
      <c r="D17" s="6" t="s">
        <v>28</v>
      </c>
      <c r="J17" t="s">
        <v>200</v>
      </c>
    </row>
    <row r="18" spans="1:10" ht="15" thickBot="1" x14ac:dyDescent="0.35">
      <c r="A18" s="7" t="s">
        <v>29</v>
      </c>
      <c r="B18" s="70">
        <v>0.7268</v>
      </c>
      <c r="C18" s="4" t="s">
        <v>27</v>
      </c>
      <c r="D18" s="6" t="s">
        <v>30</v>
      </c>
    </row>
    <row r="19" spans="1:10" ht="15" thickBot="1" x14ac:dyDescent="0.35">
      <c r="A19" s="11" t="s">
        <v>31</v>
      </c>
      <c r="B19" s="70">
        <v>476.87</v>
      </c>
      <c r="C19" s="4" t="s">
        <v>24</v>
      </c>
      <c r="D19" s="6" t="s">
        <v>32</v>
      </c>
    </row>
    <row r="20" spans="1:10" ht="15" thickBot="1" x14ac:dyDescent="0.35">
      <c r="A20" s="11" t="s">
        <v>23</v>
      </c>
      <c r="B20" s="70">
        <v>112.95</v>
      </c>
      <c r="C20" s="4" t="s">
        <v>24</v>
      </c>
      <c r="D20" s="6" t="s">
        <v>33</v>
      </c>
    </row>
    <row r="21" spans="1:10" ht="15" thickBot="1" x14ac:dyDescent="0.35">
      <c r="A21" s="11" t="s">
        <v>26</v>
      </c>
      <c r="B21" s="70">
        <v>0.13869999999999999</v>
      </c>
      <c r="C21" s="4" t="s">
        <v>34</v>
      </c>
      <c r="D21" s="6" t="s">
        <v>35</v>
      </c>
    </row>
    <row r="22" spans="1:10" ht="15" thickBot="1" x14ac:dyDescent="0.35">
      <c r="A22" s="11" t="s">
        <v>29</v>
      </c>
      <c r="B22" s="70">
        <v>0.1353</v>
      </c>
      <c r="C22" s="4" t="s">
        <v>34</v>
      </c>
      <c r="D22" s="6" t="s">
        <v>36</v>
      </c>
      <c r="G22" s="6"/>
    </row>
    <row r="23" spans="1:10" ht="15" thickBot="1" x14ac:dyDescent="0.35">
      <c r="A23" s="11" t="s">
        <v>37</v>
      </c>
      <c r="B23" s="70">
        <v>-635.19000000000005</v>
      </c>
      <c r="C23" s="4" t="s">
        <v>38</v>
      </c>
      <c r="D23" s="6" t="s">
        <v>39</v>
      </c>
    </row>
    <row r="24" spans="1:10" ht="15" thickBot="1" x14ac:dyDescent="0.35">
      <c r="A24" s="8" t="s">
        <v>40</v>
      </c>
      <c r="B24" s="70">
        <v>1.45</v>
      </c>
      <c r="C24" s="4" t="s">
        <v>27</v>
      </c>
      <c r="D24" s="6" t="s">
        <v>41</v>
      </c>
    </row>
    <row r="25" spans="1:10" ht="15" thickBot="1" x14ac:dyDescent="0.35">
      <c r="A25" s="9" t="s">
        <v>42</v>
      </c>
      <c r="B25" s="70">
        <v>181.11</v>
      </c>
      <c r="C25" s="4" t="s">
        <v>38</v>
      </c>
      <c r="D25" s="6" t="s">
        <v>41</v>
      </c>
    </row>
    <row r="26" spans="1:10" ht="15" thickBot="1" x14ac:dyDescent="0.35">
      <c r="A26" s="8" t="s">
        <v>43</v>
      </c>
      <c r="B26" s="70">
        <v>1708</v>
      </c>
      <c r="C26" s="4" t="s">
        <v>44</v>
      </c>
      <c r="D26" s="6" t="s">
        <v>41</v>
      </c>
    </row>
    <row r="27" spans="1:10" ht="15" thickBot="1" x14ac:dyDescent="0.35">
      <c r="A27" s="8" t="s">
        <v>45</v>
      </c>
      <c r="B27" s="70">
        <v>0.437</v>
      </c>
      <c r="C27" s="4" t="s">
        <v>46</v>
      </c>
      <c r="D27" s="6" t="s">
        <v>41</v>
      </c>
    </row>
    <row r="28" spans="1:10" ht="15" thickBot="1" x14ac:dyDescent="0.35">
      <c r="A28" s="10" t="s">
        <v>47</v>
      </c>
      <c r="B28" s="70">
        <v>2.08</v>
      </c>
      <c r="C28" s="4" t="s">
        <v>48</v>
      </c>
      <c r="D28" s="6" t="s">
        <v>49</v>
      </c>
    </row>
    <row r="29" spans="1:10" ht="15" thickBot="1" x14ac:dyDescent="0.35">
      <c r="A29" s="10" t="s">
        <v>50</v>
      </c>
      <c r="B29" s="70">
        <v>36.344000000000001</v>
      </c>
      <c r="C29" s="4" t="s">
        <v>48</v>
      </c>
      <c r="D29" s="6" t="s">
        <v>51</v>
      </c>
    </row>
    <row r="30" spans="1:10" ht="15" thickBot="1" x14ac:dyDescent="0.35">
      <c r="A30" s="10" t="s">
        <v>52</v>
      </c>
      <c r="B30" s="70">
        <v>6.45</v>
      </c>
      <c r="C30" s="4" t="s">
        <v>53</v>
      </c>
      <c r="D30" s="6" t="s">
        <v>54</v>
      </c>
    </row>
    <row r="31" spans="1:10" ht="15" thickBot="1" x14ac:dyDescent="0.35">
      <c r="A31" s="38" t="s">
        <v>55</v>
      </c>
      <c r="B31" s="71">
        <v>40000000</v>
      </c>
      <c r="C31" s="4" t="s">
        <v>44</v>
      </c>
    </row>
    <row r="32" spans="1:10" ht="15" thickBot="1" x14ac:dyDescent="0.35">
      <c r="A32" s="38" t="s">
        <v>57</v>
      </c>
      <c r="B32" s="71">
        <f>16769.6</f>
        <v>16769.599999999999</v>
      </c>
      <c r="C32" s="4" t="s">
        <v>58</v>
      </c>
      <c r="D32" s="6" t="s">
        <v>56</v>
      </c>
    </row>
    <row r="33" spans="1:17" ht="15" thickBot="1" x14ac:dyDescent="0.35">
      <c r="A33" s="38" t="s">
        <v>183</v>
      </c>
      <c r="B33" s="70">
        <f>0.1*B31</f>
        <v>4000000</v>
      </c>
      <c r="C33" s="4" t="s">
        <v>44</v>
      </c>
      <c r="D33" s="6"/>
      <c r="Q33" s="3"/>
    </row>
    <row r="34" spans="1:17" ht="15" thickBot="1" x14ac:dyDescent="0.35">
      <c r="A34" s="38" t="s">
        <v>61</v>
      </c>
      <c r="B34" s="72">
        <v>0.55000000000000004</v>
      </c>
      <c r="C34" s="4" t="s">
        <v>62</v>
      </c>
      <c r="D34" s="6" t="s">
        <v>63</v>
      </c>
    </row>
    <row r="35" spans="1:17" ht="15" thickBot="1" x14ac:dyDescent="0.35">
      <c r="A35" s="38" t="s">
        <v>64</v>
      </c>
      <c r="B35" s="71">
        <v>138000</v>
      </c>
      <c r="C35" s="4" t="s">
        <v>24</v>
      </c>
      <c r="D35" s="6" t="s">
        <v>179</v>
      </c>
    </row>
    <row r="36" spans="1:17" ht="15" thickBot="1" x14ac:dyDescent="0.35">
      <c r="A36" s="38" t="s">
        <v>66</v>
      </c>
      <c r="B36" s="70">
        <v>20</v>
      </c>
      <c r="C36" s="4" t="s">
        <v>67</v>
      </c>
    </row>
    <row r="37" spans="1:17" ht="15" thickBot="1" x14ac:dyDescent="0.35">
      <c r="A37" s="38" t="s">
        <v>68</v>
      </c>
      <c r="B37" s="70">
        <v>0</v>
      </c>
      <c r="C37" s="4" t="s">
        <v>69</v>
      </c>
    </row>
    <row r="38" spans="1:17" ht="15" thickBot="1" x14ac:dyDescent="0.35">
      <c r="A38" s="42" t="s">
        <v>70</v>
      </c>
      <c r="B38" s="70">
        <v>8765.76</v>
      </c>
      <c r="C38" s="4" t="s">
        <v>71</v>
      </c>
      <c r="D38" s="6"/>
    </row>
    <row r="39" spans="1:17" x14ac:dyDescent="0.3">
      <c r="A39" s="42" t="s">
        <v>73</v>
      </c>
      <c r="B39" s="71">
        <f>L55</f>
        <v>410204916.90776634</v>
      </c>
      <c r="C39" s="4" t="s">
        <v>74</v>
      </c>
      <c r="D39" s="6"/>
    </row>
    <row r="40" spans="1:17" ht="15" thickBot="1" x14ac:dyDescent="0.35">
      <c r="B40" s="67"/>
    </row>
    <row r="41" spans="1:17" ht="16.2" thickBot="1" x14ac:dyDescent="0.4">
      <c r="A41" s="52" t="s">
        <v>124</v>
      </c>
      <c r="B41" s="72">
        <f>78.67/1000</f>
        <v>7.8670000000000004E-2</v>
      </c>
      <c r="C41" s="4" t="s">
        <v>48</v>
      </c>
      <c r="D41" s="6" t="s">
        <v>125</v>
      </c>
      <c r="J41" s="6"/>
    </row>
    <row r="42" spans="1:17" ht="16.2" thickBot="1" x14ac:dyDescent="0.35">
      <c r="A42" s="53" t="s">
        <v>133</v>
      </c>
      <c r="B42" s="72">
        <v>0.24399999999999999</v>
      </c>
      <c r="C42" s="4" t="s">
        <v>123</v>
      </c>
      <c r="D42" s="6" t="s">
        <v>126</v>
      </c>
      <c r="I42" t="s">
        <v>127</v>
      </c>
      <c r="J42" s="6" t="s">
        <v>128</v>
      </c>
      <c r="M42" t="s">
        <v>129</v>
      </c>
      <c r="N42" s="6" t="s">
        <v>130</v>
      </c>
    </row>
    <row r="43" spans="1:17" ht="16.2" thickBot="1" x14ac:dyDescent="0.4">
      <c r="A43" s="54" t="s">
        <v>132</v>
      </c>
      <c r="B43" s="72">
        <f>B32*B38*B41*B42</f>
        <v>2821702.71453739</v>
      </c>
      <c r="C43" s="4" t="s">
        <v>38</v>
      </c>
    </row>
    <row r="44" spans="1:17" ht="16.2" thickBot="1" x14ac:dyDescent="0.4">
      <c r="A44" s="54" t="s">
        <v>134</v>
      </c>
      <c r="B44" s="72">
        <f>B32*B38*B42/1000</f>
        <v>35867.582490623994</v>
      </c>
      <c r="C44" s="4" t="s">
        <v>131</v>
      </c>
    </row>
    <row r="45" spans="1:17" ht="15" thickBot="1" x14ac:dyDescent="0.35">
      <c r="B45" s="67"/>
      <c r="J45" s="20" t="s">
        <v>184</v>
      </c>
      <c r="L45" s="47"/>
    </row>
    <row r="46" spans="1:17" ht="15" thickBot="1" x14ac:dyDescent="0.35">
      <c r="A46" s="43" t="s">
        <v>186</v>
      </c>
      <c r="B46" s="72">
        <f>B32*B38*(B21+B22)+B20+B23+B19</f>
        <v>40277485.787504002</v>
      </c>
      <c r="C46" s="4" t="s">
        <v>38</v>
      </c>
      <c r="J46" s="58"/>
      <c r="K46" s="58" t="s">
        <v>160</v>
      </c>
      <c r="L46" s="59">
        <f>52.8</f>
        <v>52.8</v>
      </c>
      <c r="M46" s="58" t="s">
        <v>58</v>
      </c>
    </row>
    <row r="47" spans="1:17" ht="15" thickBot="1" x14ac:dyDescent="0.35">
      <c r="A47" s="43" t="s">
        <v>76</v>
      </c>
      <c r="B47" s="70">
        <f>$G$72</f>
        <v>410012289.22671056</v>
      </c>
      <c r="C47" s="4" t="s">
        <v>38</v>
      </c>
      <c r="J47" s="60">
        <v>0.95</v>
      </c>
      <c r="K47" s="58" t="s">
        <v>161</v>
      </c>
      <c r="L47" s="59">
        <f>4.187</f>
        <v>4.1870000000000003</v>
      </c>
      <c r="M47" s="58" t="s">
        <v>163</v>
      </c>
      <c r="N47" s="6" t="s">
        <v>164</v>
      </c>
    </row>
    <row r="48" spans="1:17" ht="15" thickBot="1" x14ac:dyDescent="0.35">
      <c r="A48" s="43" t="s">
        <v>77</v>
      </c>
      <c r="B48" s="70">
        <f>B35+B25+B33</f>
        <v>4138181.11</v>
      </c>
      <c r="C48" s="4" t="s">
        <v>38</v>
      </c>
      <c r="J48" s="60">
        <v>0.05</v>
      </c>
      <c r="K48" s="58" t="s">
        <v>162</v>
      </c>
      <c r="L48" s="61">
        <f>2.57</f>
        <v>2.57</v>
      </c>
      <c r="M48" s="58" t="s">
        <v>163</v>
      </c>
      <c r="N48" s="6" t="s">
        <v>171</v>
      </c>
    </row>
    <row r="49" spans="1:17" ht="15" thickBot="1" x14ac:dyDescent="0.35">
      <c r="A49" s="43" t="s">
        <v>78</v>
      </c>
      <c r="B49" s="70">
        <f>B47+B46+B43</f>
        <v>453111477.72875196</v>
      </c>
      <c r="C49" s="4" t="s">
        <v>38</v>
      </c>
      <c r="J49" s="58"/>
      <c r="K49" s="58" t="s">
        <v>177</v>
      </c>
      <c r="L49" s="59">
        <v>1</v>
      </c>
      <c r="M49" s="58" t="s">
        <v>178</v>
      </c>
      <c r="Q49" t="s">
        <v>191</v>
      </c>
    </row>
    <row r="50" spans="1:17" ht="15" thickBot="1" x14ac:dyDescent="0.35">
      <c r="A50" s="43" t="s">
        <v>185</v>
      </c>
      <c r="B50" s="70">
        <f>B31</f>
        <v>40000000</v>
      </c>
      <c r="C50" s="4" t="s">
        <v>38</v>
      </c>
      <c r="J50" s="58"/>
      <c r="K50" s="58" t="s">
        <v>165</v>
      </c>
      <c r="L50" s="59">
        <f>L46/(0.95*L47+L48*0.05)</f>
        <v>12.85876063952851</v>
      </c>
      <c r="M50" s="58" t="s">
        <v>166</v>
      </c>
      <c r="N50" t="s">
        <v>189</v>
      </c>
      <c r="Q50" t="s">
        <v>190</v>
      </c>
    </row>
    <row r="51" spans="1:17" x14ac:dyDescent="0.3">
      <c r="A51" s="44" t="s">
        <v>80</v>
      </c>
      <c r="B51" s="70">
        <f>B48+B49</f>
        <v>457249658.83875197</v>
      </c>
      <c r="C51" s="4" t="s">
        <v>38</v>
      </c>
      <c r="J51" s="58"/>
      <c r="K51" s="58" t="s">
        <v>165</v>
      </c>
      <c r="L51" s="59">
        <f>L50*3600*24*365.25</f>
        <v>405791624.75798488</v>
      </c>
      <c r="M51" s="58" t="s">
        <v>167</v>
      </c>
    </row>
    <row r="52" spans="1:17" ht="15" thickBot="1" x14ac:dyDescent="0.35">
      <c r="B52" s="67"/>
      <c r="J52" s="60">
        <v>0.05</v>
      </c>
      <c r="K52" s="58" t="s">
        <v>168</v>
      </c>
      <c r="L52" s="61">
        <f>785.3</f>
        <v>785.3</v>
      </c>
      <c r="M52" s="58" t="s">
        <v>170</v>
      </c>
      <c r="N52" s="6" t="s">
        <v>171</v>
      </c>
    </row>
    <row r="53" spans="1:17" ht="15" thickBot="1" x14ac:dyDescent="0.35">
      <c r="A53" s="51" t="s">
        <v>81</v>
      </c>
      <c r="B53" s="65">
        <f>234*(10^8)</f>
        <v>23400000000</v>
      </c>
      <c r="C53" s="4" t="s">
        <v>82</v>
      </c>
      <c r="D53" s="6" t="s">
        <v>83</v>
      </c>
      <c r="J53" s="60">
        <v>0.95</v>
      </c>
      <c r="K53" s="58" t="s">
        <v>169</v>
      </c>
      <c r="L53" s="59">
        <f>999.975</f>
        <v>999.97500000000002</v>
      </c>
      <c r="M53" s="58" t="s">
        <v>170</v>
      </c>
      <c r="N53" s="6" t="s">
        <v>164</v>
      </c>
    </row>
    <row r="54" spans="1:17" ht="15" thickBot="1" x14ac:dyDescent="0.35">
      <c r="A54" s="51" t="s">
        <v>84</v>
      </c>
      <c r="B54" s="65">
        <f>28753000000</f>
        <v>28753000000</v>
      </c>
      <c r="C54" s="4" t="s">
        <v>69</v>
      </c>
      <c r="D54" s="6" t="s">
        <v>83</v>
      </c>
      <c r="J54" s="58"/>
      <c r="K54" s="58" t="s">
        <v>172</v>
      </c>
      <c r="L54" s="59">
        <f>(0.95*L53+L52*0.05)/10^3</f>
        <v>0.98924124999999996</v>
      </c>
      <c r="M54" s="59" t="s">
        <v>173</v>
      </c>
    </row>
    <row r="55" spans="1:17" ht="15" thickBot="1" x14ac:dyDescent="0.35">
      <c r="A55" s="51" t="s">
        <v>85</v>
      </c>
      <c r="B55" s="65">
        <f>B54/B53</f>
        <v>1.2287606837606837</v>
      </c>
      <c r="C55" s="4" t="s">
        <v>86</v>
      </c>
      <c r="J55" s="58"/>
      <c r="K55" s="58" t="s">
        <v>174</v>
      </c>
      <c r="L55" s="59">
        <f>L51/L54</f>
        <v>410204916.90776634</v>
      </c>
      <c r="M55" s="58" t="s">
        <v>175</v>
      </c>
    </row>
    <row r="56" spans="1:17" ht="15" thickBot="1" x14ac:dyDescent="0.35">
      <c r="A56" s="51" t="s">
        <v>87</v>
      </c>
      <c r="B56" s="65">
        <f>B39*B58</f>
        <v>369184425.2169897</v>
      </c>
      <c r="C56" s="4" t="s">
        <v>82</v>
      </c>
      <c r="D56" s="6" t="s">
        <v>88</v>
      </c>
      <c r="L56" s="47"/>
    </row>
    <row r="57" spans="1:17" ht="15" thickBot="1" x14ac:dyDescent="0.35">
      <c r="A57" s="51" t="s">
        <v>89</v>
      </c>
      <c r="B57" s="65">
        <f>B56*B55</f>
        <v>453639306.76342326</v>
      </c>
      <c r="C57" s="4" t="s">
        <v>69</v>
      </c>
    </row>
    <row r="58" spans="1:17" x14ac:dyDescent="0.3">
      <c r="A58" s="51" t="s">
        <v>90</v>
      </c>
      <c r="B58" s="65">
        <v>0.9</v>
      </c>
      <c r="C58" s="4"/>
      <c r="D58" s="6" t="s">
        <v>176</v>
      </c>
    </row>
    <row r="59" spans="1:17" x14ac:dyDescent="0.3">
      <c r="B59" s="47"/>
    </row>
    <row r="60" spans="1:17" x14ac:dyDescent="0.3">
      <c r="A60" s="39" t="s">
        <v>92</v>
      </c>
      <c r="B60" s="109">
        <v>0.25800000000000001</v>
      </c>
      <c r="C60" s="39"/>
      <c r="D60" s="6" t="s">
        <v>93</v>
      </c>
    </row>
    <row r="61" spans="1:17" x14ac:dyDescent="0.3">
      <c r="A61" s="39" t="s">
        <v>94</v>
      </c>
      <c r="B61" s="109">
        <v>0.19</v>
      </c>
      <c r="C61" s="39"/>
      <c r="D61" s="6" t="s">
        <v>93</v>
      </c>
    </row>
    <row r="62" spans="1:17" x14ac:dyDescent="0.3">
      <c r="A62" s="39" t="s">
        <v>95</v>
      </c>
      <c r="B62" s="110"/>
      <c r="C62" s="39" t="s">
        <v>96</v>
      </c>
    </row>
    <row r="63" spans="1:17" x14ac:dyDescent="0.3">
      <c r="A63" s="39" t="s">
        <v>97</v>
      </c>
      <c r="B63" s="111">
        <f>B9+B10*B11</f>
        <v>6.7604589371980786E-2</v>
      </c>
      <c r="C63" s="39">
        <v>6.7599999999999993E-2</v>
      </c>
    </row>
    <row r="64" spans="1:17" x14ac:dyDescent="0.3">
      <c r="I64" s="41" t="s">
        <v>4</v>
      </c>
    </row>
    <row r="65" spans="1:30" x14ac:dyDescent="0.3">
      <c r="A65" s="25" t="s">
        <v>98</v>
      </c>
      <c r="B65" s="25"/>
      <c r="C65" s="49" t="s">
        <v>99</v>
      </c>
      <c r="D65" s="50"/>
      <c r="E65" s="35" t="s">
        <v>100</v>
      </c>
      <c r="F65" s="22" t="s">
        <v>101</v>
      </c>
      <c r="G65" s="22" t="s">
        <v>102</v>
      </c>
      <c r="H65" s="22"/>
      <c r="I65" s="6" t="s">
        <v>103</v>
      </c>
    </row>
    <row r="66" spans="1:30" x14ac:dyDescent="0.3">
      <c r="A66" s="17" t="s">
        <v>104</v>
      </c>
      <c r="B66" s="17">
        <v>1</v>
      </c>
      <c r="C66" s="36" t="s">
        <v>105</v>
      </c>
      <c r="D66" s="37" t="s">
        <v>106</v>
      </c>
      <c r="E66" s="34"/>
      <c r="F66" s="24" t="s">
        <v>107</v>
      </c>
      <c r="G66" s="24" t="s">
        <v>108</v>
      </c>
      <c r="H66" s="22" t="s">
        <v>109</v>
      </c>
    </row>
    <row r="67" spans="1:30" x14ac:dyDescent="0.3">
      <c r="A67" s="17" t="s">
        <v>110</v>
      </c>
      <c r="B67" s="18">
        <f xml:space="preserve"> B66 * 1.004974775</f>
        <v>1.004974775</v>
      </c>
      <c r="C67" s="27" t="s">
        <v>111</v>
      </c>
      <c r="D67" s="32">
        <f xml:space="preserve"> 0.95</f>
        <v>0.95</v>
      </c>
      <c r="E67" s="26">
        <f>(B24+B27)/1000</f>
        <v>1.887E-3</v>
      </c>
      <c r="F67" s="15">
        <f>$B$70 *D67</f>
        <v>350725203.95614022</v>
      </c>
      <c r="G67" s="62">
        <f>F67* (E67)</f>
        <v>661818.45986523665</v>
      </c>
      <c r="H67" s="14" t="s">
        <v>112</v>
      </c>
    </row>
    <row r="68" spans="1:30" x14ac:dyDescent="0.3">
      <c r="A68" s="20"/>
      <c r="B68" s="20"/>
      <c r="C68" s="27" t="s">
        <v>113</v>
      </c>
      <c r="D68" s="32">
        <v>0.2</v>
      </c>
      <c r="E68" s="28">
        <f>B28</f>
        <v>2.08</v>
      </c>
      <c r="F68" s="15">
        <f>$B$70 *D68</f>
        <v>73836885.043397948</v>
      </c>
      <c r="G68" s="62">
        <f>F68*E68</f>
        <v>153580720.89026773</v>
      </c>
      <c r="H68" s="14" t="s">
        <v>112</v>
      </c>
    </row>
    <row r="69" spans="1:30" x14ac:dyDescent="0.3">
      <c r="A69" s="25" t="s">
        <v>114</v>
      </c>
      <c r="B69" s="25"/>
      <c r="C69" s="27" t="s">
        <v>115</v>
      </c>
      <c r="D69" s="32">
        <v>2E-3</v>
      </c>
      <c r="E69" s="28">
        <f>(B29)</f>
        <v>36.344000000000001</v>
      </c>
      <c r="F69" s="15">
        <f>$B$70 *D69</f>
        <v>738368.85043397942</v>
      </c>
      <c r="G69" s="62">
        <f>F69*E69</f>
        <v>26835277.500172548</v>
      </c>
      <c r="H69" s="14" t="s">
        <v>112</v>
      </c>
    </row>
    <row r="70" spans="1:30" x14ac:dyDescent="0.3">
      <c r="A70" s="17" t="s">
        <v>116</v>
      </c>
      <c r="B70" s="19">
        <f>B56</f>
        <v>369184425.2169897</v>
      </c>
      <c r="C70" s="27" t="s">
        <v>117</v>
      </c>
      <c r="D70" s="32">
        <v>5.0000000000000001E-4</v>
      </c>
      <c r="E70" s="29">
        <f>(B30 * (1000/11.5))</f>
        <v>560.86956521739137</v>
      </c>
      <c r="F70" s="15">
        <f>($B$70 *D70) /4</f>
        <v>46148.053152123714</v>
      </c>
      <c r="G70" s="62">
        <f>(F70* E70)</f>
        <v>25883038.507060695</v>
      </c>
      <c r="H70" s="14" t="s">
        <v>112</v>
      </c>
    </row>
    <row r="71" spans="1:30" x14ac:dyDescent="0.3">
      <c r="A71" s="17" t="s">
        <v>118</v>
      </c>
      <c r="B71" s="18">
        <f xml:space="preserve"> B70 * B67</f>
        <v>371021034.66594857</v>
      </c>
      <c r="C71" s="30" t="s">
        <v>119</v>
      </c>
      <c r="D71" s="33">
        <v>0.55000000000000004</v>
      </c>
      <c r="E71" s="31" t="s">
        <v>120</v>
      </c>
      <c r="F71" s="16" t="s">
        <v>120</v>
      </c>
      <c r="G71" s="62">
        <f>D71*B70</f>
        <v>203051433.86934435</v>
      </c>
      <c r="H71" s="14" t="s">
        <v>112</v>
      </c>
    </row>
    <row r="72" spans="1:30" x14ac:dyDescent="0.3">
      <c r="A72" s="21"/>
      <c r="B72" s="21"/>
      <c r="C72" s="21"/>
      <c r="F72" s="22" t="s">
        <v>121</v>
      </c>
      <c r="G72" s="63">
        <f>SUM(G67:G71)</f>
        <v>410012289.22671056</v>
      </c>
      <c r="H72" s="24" t="s">
        <v>112</v>
      </c>
    </row>
    <row r="73" spans="1:30" x14ac:dyDescent="0.3">
      <c r="F73" t="s">
        <v>122</v>
      </c>
      <c r="G73" s="64">
        <f>SUM(G67:G70)</f>
        <v>206960855.35736623</v>
      </c>
    </row>
    <row r="75" spans="1:30" s="57" customFormat="1" x14ac:dyDescent="0.3"/>
    <row r="76" spans="1:30" x14ac:dyDescent="0.3">
      <c r="A76" s="73" t="s">
        <v>203</v>
      </c>
      <c r="B76" s="73"/>
      <c r="C76" s="73"/>
    </row>
    <row r="77" spans="1:30" x14ac:dyDescent="0.3">
      <c r="A77" s="73"/>
      <c r="B77" s="73"/>
      <c r="C77" s="73"/>
    </row>
    <row r="78" spans="1:30" x14ac:dyDescent="0.3">
      <c r="A78" s="73"/>
      <c r="B78" s="73"/>
      <c r="C78" s="73"/>
    </row>
    <row r="80" spans="1:30" x14ac:dyDescent="0.3">
      <c r="A80" t="s">
        <v>152</v>
      </c>
      <c r="G80" s="119" t="s">
        <v>201</v>
      </c>
      <c r="H80" s="120"/>
      <c r="I80" s="97" t="s">
        <v>199</v>
      </c>
      <c r="J80" s="94">
        <v>0</v>
      </c>
      <c r="K80" s="95">
        <v>1</v>
      </c>
      <c r="L80" s="95">
        <v>2</v>
      </c>
      <c r="M80" s="95">
        <v>3</v>
      </c>
      <c r="N80" s="95">
        <v>4</v>
      </c>
      <c r="O80" s="95">
        <v>5</v>
      </c>
      <c r="P80" s="95">
        <v>6</v>
      </c>
      <c r="Q80" s="95">
        <v>7</v>
      </c>
      <c r="R80" s="95">
        <v>8</v>
      </c>
      <c r="S80" s="95">
        <v>9</v>
      </c>
      <c r="T80" s="95">
        <v>10</v>
      </c>
      <c r="U80" s="95">
        <v>11</v>
      </c>
      <c r="V80" s="95">
        <v>12</v>
      </c>
      <c r="W80" s="95">
        <v>13</v>
      </c>
      <c r="X80" s="95">
        <v>14</v>
      </c>
      <c r="Y80" s="95">
        <v>15</v>
      </c>
      <c r="Z80" s="95">
        <v>16</v>
      </c>
      <c r="AA80" s="95">
        <v>17</v>
      </c>
      <c r="AB80" s="95">
        <v>18</v>
      </c>
      <c r="AC80" s="95">
        <v>19</v>
      </c>
      <c r="AD80" s="96">
        <v>20</v>
      </c>
    </row>
    <row r="81" spans="1:30" x14ac:dyDescent="0.3">
      <c r="G81" s="121"/>
      <c r="H81" s="122"/>
      <c r="I81" s="89" t="s">
        <v>0</v>
      </c>
      <c r="J81" s="100">
        <f>-B126</f>
        <v>-40143200</v>
      </c>
      <c r="K81" s="79">
        <f>-$B$124</f>
        <v>-4154209.11</v>
      </c>
      <c r="L81" s="79">
        <f t="shared" ref="L81:AD81" si="6">-$B$124</f>
        <v>-4154209.11</v>
      </c>
      <c r="M81" s="79">
        <f t="shared" si="6"/>
        <v>-4154209.11</v>
      </c>
      <c r="N81" s="79">
        <f t="shared" si="6"/>
        <v>-4154209.11</v>
      </c>
      <c r="O81" s="79">
        <f t="shared" si="6"/>
        <v>-4154209.11</v>
      </c>
      <c r="P81" s="79">
        <f t="shared" si="6"/>
        <v>-4154209.11</v>
      </c>
      <c r="Q81" s="79">
        <f t="shared" si="6"/>
        <v>-4154209.11</v>
      </c>
      <c r="R81" s="79">
        <f t="shared" si="6"/>
        <v>-4154209.11</v>
      </c>
      <c r="S81" s="79">
        <f t="shared" si="6"/>
        <v>-4154209.11</v>
      </c>
      <c r="T81" s="79">
        <f t="shared" si="6"/>
        <v>-4154209.11</v>
      </c>
      <c r="U81" s="79">
        <f t="shared" si="6"/>
        <v>-4154209.11</v>
      </c>
      <c r="V81" s="79">
        <f t="shared" si="6"/>
        <v>-4154209.11</v>
      </c>
      <c r="W81" s="79">
        <f t="shared" si="6"/>
        <v>-4154209.11</v>
      </c>
      <c r="X81" s="79">
        <f t="shared" si="6"/>
        <v>-4154209.11</v>
      </c>
      <c r="Y81" s="79">
        <f t="shared" si="6"/>
        <v>-4154209.11</v>
      </c>
      <c r="Z81" s="79">
        <f t="shared" si="6"/>
        <v>-4154209.11</v>
      </c>
      <c r="AA81" s="79">
        <f t="shared" si="6"/>
        <v>-4154209.11</v>
      </c>
      <c r="AB81" s="79">
        <f t="shared" si="6"/>
        <v>-4154209.11</v>
      </c>
      <c r="AC81" s="79">
        <f t="shared" si="6"/>
        <v>-4154209.11</v>
      </c>
      <c r="AD81" s="80">
        <f t="shared" si="6"/>
        <v>-4154209.11</v>
      </c>
    </row>
    <row r="82" spans="1:30" x14ac:dyDescent="0.3">
      <c r="C82" s="41" t="s">
        <v>4</v>
      </c>
      <c r="G82" s="121"/>
      <c r="H82" s="122"/>
      <c r="I82" s="90" t="s">
        <v>1</v>
      </c>
      <c r="J82" s="101">
        <v>0</v>
      </c>
      <c r="K82" s="81">
        <f>-$B$125</f>
        <v>-443454140.57118213</v>
      </c>
      <c r="L82" s="81">
        <f t="shared" ref="L82:AD82" si="7">-$B$125</f>
        <v>-443454140.57118213</v>
      </c>
      <c r="M82" s="81">
        <f t="shared" si="7"/>
        <v>-443454140.57118213</v>
      </c>
      <c r="N82" s="81">
        <f t="shared" si="7"/>
        <v>-443454140.57118213</v>
      </c>
      <c r="O82" s="81">
        <f t="shared" si="7"/>
        <v>-443454140.57118213</v>
      </c>
      <c r="P82" s="81">
        <f t="shared" si="7"/>
        <v>-443454140.57118213</v>
      </c>
      <c r="Q82" s="81">
        <f t="shared" si="7"/>
        <v>-443454140.57118213</v>
      </c>
      <c r="R82" s="81">
        <f t="shared" si="7"/>
        <v>-443454140.57118213</v>
      </c>
      <c r="S82" s="81">
        <f t="shared" si="7"/>
        <v>-443454140.57118213</v>
      </c>
      <c r="T82" s="81">
        <f t="shared" si="7"/>
        <v>-443454140.57118213</v>
      </c>
      <c r="U82" s="81">
        <f t="shared" si="7"/>
        <v>-443454140.57118213</v>
      </c>
      <c r="V82" s="81">
        <f t="shared" si="7"/>
        <v>-443454140.57118213</v>
      </c>
      <c r="W82" s="81">
        <f t="shared" si="7"/>
        <v>-443454140.57118213</v>
      </c>
      <c r="X82" s="81">
        <f t="shared" si="7"/>
        <v>-443454140.57118213</v>
      </c>
      <c r="Y82" s="81">
        <f t="shared" si="7"/>
        <v>-443454140.57118213</v>
      </c>
      <c r="Z82" s="81">
        <f t="shared" si="7"/>
        <v>-443454140.57118213</v>
      </c>
      <c r="AA82" s="81">
        <f t="shared" si="7"/>
        <v>-443454140.57118213</v>
      </c>
      <c r="AB82" s="81">
        <f t="shared" si="7"/>
        <v>-443454140.57118213</v>
      </c>
      <c r="AC82" s="81">
        <f t="shared" si="7"/>
        <v>-443454140.57118213</v>
      </c>
      <c r="AD82" s="82">
        <f t="shared" si="7"/>
        <v>-443454140.57118213</v>
      </c>
    </row>
    <row r="83" spans="1:30" x14ac:dyDescent="0.3">
      <c r="A83" s="55" t="s">
        <v>6</v>
      </c>
      <c r="B83" s="125">
        <v>3.5000000000000003E-2</v>
      </c>
      <c r="C83" s="6" t="s">
        <v>7</v>
      </c>
      <c r="G83" s="121"/>
      <c r="H83" s="122"/>
      <c r="I83" s="91" t="s">
        <v>2</v>
      </c>
      <c r="J83" s="102">
        <v>0</v>
      </c>
      <c r="K83" s="83">
        <f>$B$133</f>
        <v>453639306.76342326</v>
      </c>
      <c r="L83" s="83">
        <f t="shared" ref="K83:AD83" si="8">$B$133</f>
        <v>453639306.76342326</v>
      </c>
      <c r="M83" s="83">
        <f t="shared" si="8"/>
        <v>453639306.76342326</v>
      </c>
      <c r="N83" s="83">
        <f t="shared" si="8"/>
        <v>453639306.76342326</v>
      </c>
      <c r="O83" s="83">
        <f t="shared" si="8"/>
        <v>453639306.76342326</v>
      </c>
      <c r="P83" s="83">
        <f t="shared" si="8"/>
        <v>453639306.76342326</v>
      </c>
      <c r="Q83" s="83">
        <f t="shared" si="8"/>
        <v>453639306.76342326</v>
      </c>
      <c r="R83" s="83">
        <f t="shared" si="8"/>
        <v>453639306.76342326</v>
      </c>
      <c r="S83" s="83">
        <f t="shared" si="8"/>
        <v>453639306.76342326</v>
      </c>
      <c r="T83" s="83">
        <f t="shared" si="8"/>
        <v>453639306.76342326</v>
      </c>
      <c r="U83" s="83">
        <f t="shared" si="8"/>
        <v>453639306.76342326</v>
      </c>
      <c r="V83" s="83">
        <f t="shared" si="8"/>
        <v>453639306.76342326</v>
      </c>
      <c r="W83" s="83">
        <f t="shared" si="8"/>
        <v>453639306.76342326</v>
      </c>
      <c r="X83" s="83">
        <f t="shared" si="8"/>
        <v>453639306.76342326</v>
      </c>
      <c r="Y83" s="83">
        <f t="shared" si="8"/>
        <v>453639306.76342326</v>
      </c>
      <c r="Z83" s="83">
        <f t="shared" si="8"/>
        <v>453639306.76342326</v>
      </c>
      <c r="AA83" s="83">
        <f t="shared" si="8"/>
        <v>453639306.76342326</v>
      </c>
      <c r="AB83" s="83">
        <f t="shared" si="8"/>
        <v>453639306.76342326</v>
      </c>
      <c r="AC83" s="83">
        <f t="shared" si="8"/>
        <v>453639306.76342326</v>
      </c>
      <c r="AD83" s="84">
        <f t="shared" si="8"/>
        <v>453639306.76342326</v>
      </c>
    </row>
    <row r="84" spans="1:30" x14ac:dyDescent="0.3">
      <c r="A84" s="55" t="s">
        <v>9</v>
      </c>
      <c r="B84" s="126">
        <v>0.06</v>
      </c>
      <c r="C84" s="6" t="s">
        <v>10</v>
      </c>
      <c r="G84" s="121"/>
      <c r="H84" s="122"/>
      <c r="I84" s="91" t="s">
        <v>3</v>
      </c>
      <c r="J84" s="102">
        <f>SUM(J81:J83)</f>
        <v>-40143200</v>
      </c>
      <c r="K84" s="83">
        <f>SUM(K81:K83)</f>
        <v>6030957.082241118</v>
      </c>
      <c r="L84" s="83">
        <f t="shared" ref="L84:AD84" si="9">SUM(L81:L83)</f>
        <v>6030957.082241118</v>
      </c>
      <c r="M84" s="83">
        <f t="shared" si="9"/>
        <v>6030957.082241118</v>
      </c>
      <c r="N84" s="83">
        <f t="shared" si="9"/>
        <v>6030957.082241118</v>
      </c>
      <c r="O84" s="83">
        <f t="shared" si="9"/>
        <v>6030957.082241118</v>
      </c>
      <c r="P84" s="83">
        <f t="shared" si="9"/>
        <v>6030957.082241118</v>
      </c>
      <c r="Q84" s="83">
        <f t="shared" si="9"/>
        <v>6030957.082241118</v>
      </c>
      <c r="R84" s="83">
        <f t="shared" si="9"/>
        <v>6030957.082241118</v>
      </c>
      <c r="S84" s="83">
        <f t="shared" si="9"/>
        <v>6030957.082241118</v>
      </c>
      <c r="T84" s="83">
        <f t="shared" si="9"/>
        <v>6030957.082241118</v>
      </c>
      <c r="U84" s="83">
        <f t="shared" si="9"/>
        <v>6030957.082241118</v>
      </c>
      <c r="V84" s="83">
        <f t="shared" si="9"/>
        <v>6030957.082241118</v>
      </c>
      <c r="W84" s="83">
        <f t="shared" si="9"/>
        <v>6030957.082241118</v>
      </c>
      <c r="X84" s="83">
        <f t="shared" si="9"/>
        <v>6030957.082241118</v>
      </c>
      <c r="Y84" s="83">
        <f t="shared" si="9"/>
        <v>6030957.082241118</v>
      </c>
      <c r="Z84" s="83">
        <f t="shared" si="9"/>
        <v>6030957.082241118</v>
      </c>
      <c r="AA84" s="83">
        <f t="shared" si="9"/>
        <v>6030957.082241118</v>
      </c>
      <c r="AB84" s="83">
        <f t="shared" si="9"/>
        <v>6030957.082241118</v>
      </c>
      <c r="AC84" s="83">
        <f t="shared" si="9"/>
        <v>6030957.082241118</v>
      </c>
      <c r="AD84" s="84">
        <f t="shared" si="9"/>
        <v>6030957.082241118</v>
      </c>
    </row>
    <row r="85" spans="1:30" x14ac:dyDescent="0.3">
      <c r="A85" s="55" t="s">
        <v>12</v>
      </c>
      <c r="B85" s="125">
        <f>((1+B84)/(1+B83))-1</f>
        <v>2.4154589371980784E-2</v>
      </c>
      <c r="C85" s="6"/>
      <c r="G85" s="121"/>
      <c r="H85" s="122"/>
      <c r="I85" s="91" t="s">
        <v>5</v>
      </c>
      <c r="J85" s="102">
        <f>SUM(J82:J84)</f>
        <v>-40143200</v>
      </c>
      <c r="K85" s="83">
        <f t="shared" ref="K85:AD85" si="10">(1-$B$60)*K84-38000</f>
        <v>4436970.1550229099</v>
      </c>
      <c r="L85" s="83">
        <f t="shared" si="10"/>
        <v>4436970.1550229099</v>
      </c>
      <c r="M85" s="83">
        <f t="shared" si="10"/>
        <v>4436970.1550229099</v>
      </c>
      <c r="N85" s="83">
        <f t="shared" si="10"/>
        <v>4436970.1550229099</v>
      </c>
      <c r="O85" s="83">
        <f t="shared" si="10"/>
        <v>4436970.1550229099</v>
      </c>
      <c r="P85" s="83">
        <f t="shared" si="10"/>
        <v>4436970.1550229099</v>
      </c>
      <c r="Q85" s="83">
        <f t="shared" si="10"/>
        <v>4436970.1550229099</v>
      </c>
      <c r="R85" s="83">
        <f t="shared" si="10"/>
        <v>4436970.1550229099</v>
      </c>
      <c r="S85" s="83">
        <f t="shared" si="10"/>
        <v>4436970.1550229099</v>
      </c>
      <c r="T85" s="83">
        <f t="shared" si="10"/>
        <v>4436970.1550229099</v>
      </c>
      <c r="U85" s="83">
        <f t="shared" si="10"/>
        <v>4436970.1550229099</v>
      </c>
      <c r="V85" s="83">
        <f t="shared" si="10"/>
        <v>4436970.1550229099</v>
      </c>
      <c r="W85" s="83">
        <f t="shared" si="10"/>
        <v>4436970.1550229099</v>
      </c>
      <c r="X85" s="83">
        <f t="shared" si="10"/>
        <v>4436970.1550229099</v>
      </c>
      <c r="Y85" s="83">
        <f t="shared" si="10"/>
        <v>4436970.1550229099</v>
      </c>
      <c r="Z85" s="83">
        <f t="shared" si="10"/>
        <v>4436970.1550229099</v>
      </c>
      <c r="AA85" s="83">
        <f t="shared" si="10"/>
        <v>4436970.1550229099</v>
      </c>
      <c r="AB85" s="83">
        <f t="shared" si="10"/>
        <v>4436970.1550229099</v>
      </c>
      <c r="AC85" s="83">
        <f t="shared" si="10"/>
        <v>4436970.1550229099</v>
      </c>
      <c r="AD85" s="84">
        <f t="shared" si="10"/>
        <v>4436970.1550229099</v>
      </c>
    </row>
    <row r="86" spans="1:30" x14ac:dyDescent="0.3">
      <c r="A86" s="55" t="s">
        <v>14</v>
      </c>
      <c r="B86" s="127">
        <v>0.79</v>
      </c>
      <c r="C86" s="6" t="s">
        <v>15</v>
      </c>
      <c r="G86" s="121"/>
      <c r="H86" s="122"/>
      <c r="I86" s="98" t="s">
        <v>8</v>
      </c>
      <c r="J86" s="103">
        <f>J85</f>
        <v>-40143200</v>
      </c>
      <c r="K86" s="104">
        <f>PV($B$139,K80,,-K85)</f>
        <v>4156005.1344786379</v>
      </c>
      <c r="L86" s="104">
        <f>PV($B$139,L80,,-L85)</f>
        <v>3892831.8366666175</v>
      </c>
      <c r="M86" s="104">
        <f>PV($B$139,M80,,-M85)</f>
        <v>3646323.6252633375</v>
      </c>
      <c r="N86" s="104">
        <f>PV($B$139,N80,,-N85)</f>
        <v>3415425.2066378715</v>
      </c>
      <c r="O86" s="104">
        <f>PV($B$139,O80,,-O85)</f>
        <v>3199148.1121741878</v>
      </c>
      <c r="P86" s="104">
        <f>PV($B$139,P80,,-P85)</f>
        <v>2996566.4666691711</v>
      </c>
      <c r="Q86" s="104">
        <f>PV($B$139,Q80,,-Q85)</f>
        <v>2806813.0246910085</v>
      </c>
      <c r="R86" s="104">
        <f>PV($B$139,R80,,-R85)</f>
        <v>2629075.4579297174</v>
      </c>
      <c r="S86" s="104">
        <f>PV($B$139,S80,,-S85)</f>
        <v>2462592.8776460891</v>
      </c>
      <c r="T86" s="104">
        <f>PV($B$139,T80,,-T85)</f>
        <v>2306652.5773317548</v>
      </c>
      <c r="U86" s="104">
        <f>PV($B$139,U80,,-U85)</f>
        <v>2160586.9816358178</v>
      </c>
      <c r="V86" s="104">
        <f>PV($B$139,V80,,-V85)</f>
        <v>2023770.7884965022</v>
      </c>
      <c r="W86" s="104">
        <f>PV($B$139,W80,,-W85)</f>
        <v>1895618.2922433736</v>
      </c>
      <c r="X86" s="104">
        <f>PV($B$139,X80,,-X85)</f>
        <v>1775580.876210426</v>
      </c>
      <c r="Y86" s="104">
        <f>PV($B$139,Y80,,-Y85)</f>
        <v>1663144.6641259876</v>
      </c>
      <c r="Z86" s="104">
        <f>PV($B$139,Z80,,-Z85)</f>
        <v>1557828.3202251254</v>
      </c>
      <c r="AA86" s="104">
        <f>PV($B$139,AA80,,-AA85)</f>
        <v>1459180.9886668988</v>
      </c>
      <c r="AB86" s="104">
        <f>PV($B$139,AB80,,-AB85)</f>
        <v>1366780.3634351769</v>
      </c>
      <c r="AC86" s="104">
        <f>PV($B$139,AC80,,-AC85)</f>
        <v>1280230.8804603273</v>
      </c>
      <c r="AD86" s="105">
        <f>PV($B$139,AD80,,-AD85)</f>
        <v>1199162.024222305</v>
      </c>
    </row>
    <row r="87" spans="1:30" x14ac:dyDescent="0.3">
      <c r="A87" s="55" t="s">
        <v>17</v>
      </c>
      <c r="B87" s="125">
        <v>5.5E-2</v>
      </c>
      <c r="C87" s="6" t="s">
        <v>18</v>
      </c>
      <c r="G87" s="121"/>
      <c r="H87" s="122"/>
      <c r="I87" s="99" t="s">
        <v>11</v>
      </c>
      <c r="J87" s="106">
        <f>J86</f>
        <v>-40143200</v>
      </c>
      <c r="K87" s="107">
        <f>K86+J87</f>
        <v>-35987194.865521364</v>
      </c>
      <c r="L87" s="107">
        <f>L86+K87</f>
        <v>-32094363.028854746</v>
      </c>
      <c r="M87" s="107">
        <f t="shared" ref="M87:AD87" si="11">M86+L87</f>
        <v>-28448039.403591409</v>
      </c>
      <c r="N87" s="107">
        <f t="shared" si="11"/>
        <v>-25032614.196953539</v>
      </c>
      <c r="O87" s="107">
        <f t="shared" si="11"/>
        <v>-21833466.084779352</v>
      </c>
      <c r="P87" s="107">
        <f t="shared" si="11"/>
        <v>-18836899.61811018</v>
      </c>
      <c r="Q87" s="107">
        <f t="shared" si="11"/>
        <v>-16030086.593419172</v>
      </c>
      <c r="R87" s="107">
        <f t="shared" si="11"/>
        <v>-13401011.135489454</v>
      </c>
      <c r="S87" s="107">
        <f t="shared" si="11"/>
        <v>-10938418.257843366</v>
      </c>
      <c r="T87" s="107">
        <f t="shared" si="11"/>
        <v>-8631765.6805116106</v>
      </c>
      <c r="U87" s="107">
        <f t="shared" si="11"/>
        <v>-6471178.6988757923</v>
      </c>
      <c r="V87" s="107">
        <f t="shared" si="11"/>
        <v>-4447407.9103792906</v>
      </c>
      <c r="W87" s="107">
        <f t="shared" si="11"/>
        <v>-2551789.618135917</v>
      </c>
      <c r="X87" s="107">
        <f t="shared" si="11"/>
        <v>-776208.74192549102</v>
      </c>
      <c r="Y87" s="107">
        <f t="shared" si="11"/>
        <v>886935.92220049654</v>
      </c>
      <c r="Z87" s="107">
        <f t="shared" si="11"/>
        <v>2444764.242425622</v>
      </c>
      <c r="AA87" s="107">
        <f t="shared" si="11"/>
        <v>3903945.231092521</v>
      </c>
      <c r="AB87" s="107">
        <f t="shared" si="11"/>
        <v>5270725.5945276981</v>
      </c>
      <c r="AC87" s="107">
        <f t="shared" si="11"/>
        <v>6550956.4749880256</v>
      </c>
      <c r="AD87" s="108">
        <f t="shared" si="11"/>
        <v>7750118.4992103307</v>
      </c>
    </row>
    <row r="88" spans="1:30" x14ac:dyDescent="0.3">
      <c r="A88" s="133" t="s">
        <v>202</v>
      </c>
      <c r="B88" s="128"/>
      <c r="C88" s="128"/>
      <c r="D88" s="128"/>
      <c r="E88" s="116"/>
      <c r="G88" s="121"/>
      <c r="H88" s="122"/>
      <c r="I88" s="75" t="s">
        <v>13</v>
      </c>
      <c r="J88" s="78">
        <f>IF(ISNUMBER(IRR(J85:AD85)),IRR(J85:AD85),"Loss Too Large")</f>
        <v>9.1255850172800246E-2</v>
      </c>
      <c r="K88" s="5"/>
      <c r="L88" s="13"/>
      <c r="M88" s="13"/>
      <c r="N88" s="13"/>
      <c r="O88" s="13"/>
      <c r="P88" s="13"/>
      <c r="Q88" s="13"/>
      <c r="R88" s="13"/>
      <c r="S88" s="13"/>
      <c r="T88" s="13"/>
      <c r="U88" s="13"/>
      <c r="V88" s="13"/>
      <c r="W88" s="13"/>
      <c r="X88" s="13"/>
      <c r="Y88" s="13"/>
      <c r="Z88" s="13"/>
      <c r="AA88" s="13"/>
      <c r="AB88" s="13"/>
      <c r="AC88" s="13"/>
      <c r="AD88" s="13"/>
    </row>
    <row r="89" spans="1:30" x14ac:dyDescent="0.3">
      <c r="A89" s="117"/>
      <c r="B89" s="129"/>
      <c r="C89" s="129"/>
      <c r="D89" s="129"/>
      <c r="E89" s="118"/>
      <c r="G89" s="123"/>
      <c r="H89" s="124"/>
      <c r="I89" s="76" t="s">
        <v>16</v>
      </c>
      <c r="J89" s="74">
        <f>NPV(C139,(K85:AD85))+J85</f>
        <v>7751844.79349415</v>
      </c>
      <c r="K89" s="13"/>
      <c r="L89" s="13"/>
      <c r="M89" s="13"/>
      <c r="N89" s="13"/>
      <c r="O89" s="13"/>
      <c r="P89" s="13"/>
      <c r="Q89" s="13"/>
      <c r="R89" s="13"/>
      <c r="S89" s="13"/>
      <c r="T89" s="13"/>
      <c r="U89" s="13"/>
      <c r="V89" s="13"/>
      <c r="W89" s="13"/>
      <c r="X89" s="13"/>
      <c r="Y89" s="13"/>
      <c r="Z89" s="13"/>
      <c r="AA89" s="13"/>
      <c r="AB89" s="13"/>
      <c r="AC89" s="13"/>
      <c r="AD89" s="13"/>
    </row>
    <row r="90" spans="1:30" ht="15" thickBot="1" x14ac:dyDescent="0.35">
      <c r="A90" t="s">
        <v>19</v>
      </c>
      <c r="D90" s="41" t="s">
        <v>4</v>
      </c>
    </row>
    <row r="91" spans="1:30" ht="15" thickBot="1" x14ac:dyDescent="0.35">
      <c r="A91" s="7" t="s">
        <v>20</v>
      </c>
      <c r="B91" s="65">
        <v>268.37</v>
      </c>
      <c r="C91" s="4" t="s">
        <v>21</v>
      </c>
      <c r="D91" s="6" t="s">
        <v>22</v>
      </c>
    </row>
    <row r="92" spans="1:30" ht="15" thickBot="1" x14ac:dyDescent="0.35">
      <c r="A92" s="7" t="s">
        <v>23</v>
      </c>
      <c r="B92" s="65">
        <v>92.61</v>
      </c>
      <c r="C92" s="4" t="s">
        <v>24</v>
      </c>
      <c r="D92" s="6" t="s">
        <v>25</v>
      </c>
    </row>
    <row r="93" spans="1:30" ht="15" thickBot="1" x14ac:dyDescent="0.35">
      <c r="A93" s="7" t="s">
        <v>26</v>
      </c>
      <c r="B93" s="65">
        <v>0.57830000000000004</v>
      </c>
      <c r="C93" s="4" t="s">
        <v>27</v>
      </c>
      <c r="D93" s="6" t="s">
        <v>28</v>
      </c>
    </row>
    <row r="94" spans="1:30" ht="15" thickBot="1" x14ac:dyDescent="0.35">
      <c r="A94" s="7" t="s">
        <v>29</v>
      </c>
      <c r="B94" s="65">
        <v>0.7268</v>
      </c>
      <c r="C94" s="4" t="s">
        <v>27</v>
      </c>
      <c r="D94" s="6" t="s">
        <v>30</v>
      </c>
    </row>
    <row r="95" spans="1:30" ht="15" thickBot="1" x14ac:dyDescent="0.35">
      <c r="A95" s="11" t="s">
        <v>31</v>
      </c>
      <c r="B95" s="65">
        <v>476.87</v>
      </c>
      <c r="C95" s="4" t="s">
        <v>24</v>
      </c>
      <c r="D95" s="6" t="s">
        <v>32</v>
      </c>
    </row>
    <row r="96" spans="1:30" ht="15" thickBot="1" x14ac:dyDescent="0.35">
      <c r="A96" s="11" t="s">
        <v>23</v>
      </c>
      <c r="B96" s="65">
        <v>112.95</v>
      </c>
      <c r="C96" s="4" t="s">
        <v>24</v>
      </c>
      <c r="D96" s="6" t="s">
        <v>33</v>
      </c>
    </row>
    <row r="97" spans="1:17" ht="15" thickBot="1" x14ac:dyDescent="0.35">
      <c r="A97" s="11" t="s">
        <v>26</v>
      </c>
      <c r="B97" s="65">
        <v>0.13869999999999999</v>
      </c>
      <c r="C97" s="4" t="s">
        <v>34</v>
      </c>
      <c r="D97" s="6" t="s">
        <v>35</v>
      </c>
    </row>
    <row r="98" spans="1:17" ht="15" thickBot="1" x14ac:dyDescent="0.35">
      <c r="A98" s="11" t="s">
        <v>29</v>
      </c>
      <c r="B98" s="65">
        <v>0.1353</v>
      </c>
      <c r="C98" s="4" t="s">
        <v>34</v>
      </c>
      <c r="D98" s="6" t="s">
        <v>36</v>
      </c>
      <c r="G98" s="6"/>
    </row>
    <row r="99" spans="1:17" ht="15" thickBot="1" x14ac:dyDescent="0.35">
      <c r="A99" s="11" t="s">
        <v>37</v>
      </c>
      <c r="B99" s="65">
        <v>-635.19000000000005</v>
      </c>
      <c r="C99" s="4" t="s">
        <v>38</v>
      </c>
      <c r="D99" s="6" t="s">
        <v>39</v>
      </c>
    </row>
    <row r="100" spans="1:17" ht="15" thickBot="1" x14ac:dyDescent="0.35">
      <c r="A100" s="8" t="s">
        <v>40</v>
      </c>
      <c r="B100" s="65">
        <v>1.45</v>
      </c>
      <c r="C100" s="4" t="s">
        <v>27</v>
      </c>
      <c r="D100" s="6" t="s">
        <v>41</v>
      </c>
    </row>
    <row r="101" spans="1:17" ht="15" thickBot="1" x14ac:dyDescent="0.35">
      <c r="A101" s="9" t="s">
        <v>42</v>
      </c>
      <c r="B101" s="65">
        <v>181.11</v>
      </c>
      <c r="C101" s="4" t="s">
        <v>38</v>
      </c>
      <c r="D101" s="6" t="s">
        <v>41</v>
      </c>
    </row>
    <row r="102" spans="1:17" ht="15" thickBot="1" x14ac:dyDescent="0.35">
      <c r="A102" s="8" t="s">
        <v>43</v>
      </c>
      <c r="B102" s="65">
        <v>1708</v>
      </c>
      <c r="C102" s="4" t="s">
        <v>44</v>
      </c>
      <c r="D102" s="6" t="s">
        <v>41</v>
      </c>
    </row>
    <row r="103" spans="1:17" ht="15" thickBot="1" x14ac:dyDescent="0.35">
      <c r="A103" s="8" t="s">
        <v>45</v>
      </c>
      <c r="B103" s="65">
        <v>0.437</v>
      </c>
      <c r="C103" s="4" t="s">
        <v>46</v>
      </c>
      <c r="D103" s="6" t="s">
        <v>41</v>
      </c>
    </row>
    <row r="104" spans="1:17" ht="15" thickBot="1" x14ac:dyDescent="0.35">
      <c r="A104" s="10" t="s">
        <v>47</v>
      </c>
      <c r="B104" s="65">
        <v>2.08</v>
      </c>
      <c r="C104" s="4" t="s">
        <v>48</v>
      </c>
      <c r="D104" s="6" t="s">
        <v>49</v>
      </c>
    </row>
    <row r="105" spans="1:17" ht="15" thickBot="1" x14ac:dyDescent="0.35">
      <c r="A105" s="10" t="s">
        <v>50</v>
      </c>
      <c r="B105" s="65">
        <v>36.344000000000001</v>
      </c>
      <c r="C105" s="4" t="s">
        <v>48</v>
      </c>
      <c r="D105" s="6" t="s">
        <v>51</v>
      </c>
    </row>
    <row r="106" spans="1:17" ht="15" thickBot="1" x14ac:dyDescent="0.35">
      <c r="A106" s="10" t="s">
        <v>52</v>
      </c>
      <c r="B106" s="65">
        <v>6.45</v>
      </c>
      <c r="C106" s="4" t="s">
        <v>53</v>
      </c>
      <c r="D106" s="6" t="s">
        <v>54</v>
      </c>
    </row>
    <row r="107" spans="1:17" ht="15" thickBot="1" x14ac:dyDescent="0.35">
      <c r="A107" s="38" t="s">
        <v>55</v>
      </c>
      <c r="B107" s="71">
        <f>B50+J112</f>
        <v>40143200</v>
      </c>
      <c r="C107" s="4" t="s">
        <v>44</v>
      </c>
      <c r="D107" s="6"/>
    </row>
    <row r="108" spans="1:17" ht="15" thickBot="1" x14ac:dyDescent="0.35">
      <c r="A108" s="38" t="s">
        <v>57</v>
      </c>
      <c r="B108" s="71">
        <v>13012</v>
      </c>
      <c r="C108" s="4" t="s">
        <v>58</v>
      </c>
      <c r="D108" s="6"/>
    </row>
    <row r="109" spans="1:17" ht="15" thickBot="1" x14ac:dyDescent="0.35">
      <c r="A109" s="38" t="s">
        <v>182</v>
      </c>
      <c r="B109" s="70">
        <f>0.1*B107</f>
        <v>4014320</v>
      </c>
      <c r="C109" s="4" t="s">
        <v>44</v>
      </c>
      <c r="D109" s="6"/>
      <c r="I109" s="68"/>
      <c r="J109" s="68" t="s">
        <v>181</v>
      </c>
      <c r="K109" s="68"/>
      <c r="Q109" s="3"/>
    </row>
    <row r="110" spans="1:17" ht="15" thickBot="1" x14ac:dyDescent="0.35">
      <c r="A110" s="38" t="s">
        <v>61</v>
      </c>
      <c r="B110" s="72">
        <v>0.55000000000000004</v>
      </c>
      <c r="C110" s="4" t="s">
        <v>62</v>
      </c>
      <c r="D110" s="6" t="s">
        <v>63</v>
      </c>
      <c r="I110" s="68" t="s">
        <v>192</v>
      </c>
      <c r="J110" s="69">
        <f>6.041*10^5</f>
        <v>604100</v>
      </c>
      <c r="K110" s="68"/>
    </row>
    <row r="111" spans="1:17" ht="15" thickBot="1" x14ac:dyDescent="0.35">
      <c r="A111" s="38" t="s">
        <v>64</v>
      </c>
      <c r="B111" s="66">
        <v>138000</v>
      </c>
      <c r="C111" s="4" t="s">
        <v>24</v>
      </c>
      <c r="D111" s="6" t="s">
        <v>179</v>
      </c>
      <c r="I111" s="68" t="s">
        <v>193</v>
      </c>
      <c r="J111" s="69">
        <f>7.473*10^5</f>
        <v>747300</v>
      </c>
      <c r="K111" s="68"/>
    </row>
    <row r="112" spans="1:17" ht="15" thickBot="1" x14ac:dyDescent="0.35">
      <c r="A112" s="38" t="s">
        <v>66</v>
      </c>
      <c r="B112" s="65">
        <v>20</v>
      </c>
      <c r="C112" s="4" t="s">
        <v>67</v>
      </c>
      <c r="I112" s="68" t="s">
        <v>194</v>
      </c>
      <c r="J112" s="69">
        <f>J111-J110</f>
        <v>143200</v>
      </c>
      <c r="K112" s="68"/>
    </row>
    <row r="113" spans="1:14" ht="15" thickBot="1" x14ac:dyDescent="0.35">
      <c r="A113" s="38" t="s">
        <v>68</v>
      </c>
      <c r="B113" s="65">
        <v>0</v>
      </c>
      <c r="C113" s="4" t="s">
        <v>69</v>
      </c>
      <c r="I113" s="68"/>
      <c r="J113" s="68"/>
      <c r="K113" s="68"/>
    </row>
    <row r="114" spans="1:14" ht="15" thickBot="1" x14ac:dyDescent="0.35">
      <c r="A114" s="42" t="s">
        <v>70</v>
      </c>
      <c r="B114" s="65">
        <f>B38</f>
        <v>8765.76</v>
      </c>
      <c r="C114" s="4" t="s">
        <v>71</v>
      </c>
      <c r="D114" s="6"/>
    </row>
    <row r="115" spans="1:14" x14ac:dyDescent="0.3">
      <c r="A115" s="42" t="s">
        <v>73</v>
      </c>
      <c r="B115" s="66">
        <f>B39</f>
        <v>410204916.90776634</v>
      </c>
      <c r="C115" s="4" t="s">
        <v>74</v>
      </c>
      <c r="D115" s="6"/>
    </row>
    <row r="116" spans="1:14" ht="15" thickBot="1" x14ac:dyDescent="0.35">
      <c r="B116" s="47"/>
    </row>
    <row r="117" spans="1:14" ht="16.2" thickBot="1" x14ac:dyDescent="0.4">
      <c r="A117" s="52" t="s">
        <v>124</v>
      </c>
      <c r="B117" s="72">
        <f>78.67/1000</f>
        <v>7.8670000000000004E-2</v>
      </c>
      <c r="C117" s="4" t="s">
        <v>48</v>
      </c>
      <c r="D117" s="6" t="s">
        <v>125</v>
      </c>
      <c r="J117" s="6"/>
    </row>
    <row r="118" spans="1:14" ht="16.2" thickBot="1" x14ac:dyDescent="0.35">
      <c r="A118" s="53" t="s">
        <v>133</v>
      </c>
      <c r="B118" s="72">
        <v>0.24399999999999999</v>
      </c>
      <c r="C118" s="4" t="s">
        <v>123</v>
      </c>
      <c r="D118" s="6" t="s">
        <v>126</v>
      </c>
      <c r="I118" t="s">
        <v>127</v>
      </c>
      <c r="J118" s="6" t="s">
        <v>128</v>
      </c>
      <c r="M118" t="s">
        <v>129</v>
      </c>
      <c r="N118" s="6" t="s">
        <v>130</v>
      </c>
    </row>
    <row r="119" spans="1:14" ht="16.2" thickBot="1" x14ac:dyDescent="0.4">
      <c r="A119" s="54" t="s">
        <v>132</v>
      </c>
      <c r="B119" s="72">
        <f>B108*B114*B117*B118</f>
        <v>2189437.7755915779</v>
      </c>
      <c r="C119" s="4" t="s">
        <v>38</v>
      </c>
    </row>
    <row r="120" spans="1:14" ht="16.2" thickBot="1" x14ac:dyDescent="0.4">
      <c r="A120" s="54" t="s">
        <v>134</v>
      </c>
      <c r="B120" s="72">
        <f>B108*B114*B118/1000</f>
        <v>27830.656865280002</v>
      </c>
      <c r="C120" s="4" t="s">
        <v>131</v>
      </c>
    </row>
    <row r="121" spans="1:14" ht="15" thickBot="1" x14ac:dyDescent="0.35">
      <c r="B121" s="47"/>
    </row>
    <row r="122" spans="1:14" ht="15" thickBot="1" x14ac:dyDescent="0.35">
      <c r="A122" s="43" t="s">
        <v>187</v>
      </c>
      <c r="B122" s="72">
        <f>B108*B114*(B97+B98)+B95+B96+B99</f>
        <v>31252413.568880003</v>
      </c>
      <c r="C122" s="4" t="s">
        <v>38</v>
      </c>
    </row>
    <row r="123" spans="1:14" ht="15" thickBot="1" x14ac:dyDescent="0.35">
      <c r="A123" s="43" t="s">
        <v>76</v>
      </c>
      <c r="B123" s="70">
        <f>$G$148</f>
        <v>410012289.22671056</v>
      </c>
      <c r="C123" s="4" t="s">
        <v>38</v>
      </c>
    </row>
    <row r="124" spans="1:14" ht="15" thickBot="1" x14ac:dyDescent="0.35">
      <c r="A124" s="43" t="s">
        <v>77</v>
      </c>
      <c r="B124" s="71">
        <f>B111+B102+B101+B109</f>
        <v>4154209.11</v>
      </c>
      <c r="C124" s="4" t="s">
        <v>38</v>
      </c>
    </row>
    <row r="125" spans="1:14" ht="15" thickBot="1" x14ac:dyDescent="0.35">
      <c r="A125" s="43" t="s">
        <v>78</v>
      </c>
      <c r="B125" s="70">
        <f>B123+B122+B119</f>
        <v>443454140.57118213</v>
      </c>
      <c r="C125" s="4" t="s">
        <v>38</v>
      </c>
    </row>
    <row r="126" spans="1:14" ht="15" thickBot="1" x14ac:dyDescent="0.35">
      <c r="A126" s="43" t="s">
        <v>185</v>
      </c>
      <c r="B126" s="70">
        <f>B107</f>
        <v>40143200</v>
      </c>
      <c r="C126" s="4" t="s">
        <v>38</v>
      </c>
    </row>
    <row r="127" spans="1:14" x14ac:dyDescent="0.3">
      <c r="A127" s="44" t="s">
        <v>80</v>
      </c>
      <c r="B127" s="70">
        <f>B124+B125</f>
        <v>447608349.68118215</v>
      </c>
      <c r="C127" s="4" t="s">
        <v>38</v>
      </c>
    </row>
    <row r="128" spans="1:14" ht="15" thickBot="1" x14ac:dyDescent="0.35">
      <c r="B128" s="47"/>
    </row>
    <row r="129" spans="1:13" ht="15" thickBot="1" x14ac:dyDescent="0.35">
      <c r="A129" s="51" t="s">
        <v>81</v>
      </c>
      <c r="B129" s="65">
        <f>234*(10^8)</f>
        <v>23400000000</v>
      </c>
      <c r="C129" s="4" t="s">
        <v>82</v>
      </c>
      <c r="D129" s="6" t="s">
        <v>83</v>
      </c>
    </row>
    <row r="130" spans="1:13" ht="15" thickBot="1" x14ac:dyDescent="0.35">
      <c r="A130" s="51" t="s">
        <v>84</v>
      </c>
      <c r="B130" s="65">
        <f>28753000000</f>
        <v>28753000000</v>
      </c>
      <c r="C130" s="4" t="s">
        <v>69</v>
      </c>
      <c r="D130" s="6" t="s">
        <v>83</v>
      </c>
      <c r="M130" s="47"/>
    </row>
    <row r="131" spans="1:13" ht="15" thickBot="1" x14ac:dyDescent="0.35">
      <c r="A131" s="51" t="s">
        <v>85</v>
      </c>
      <c r="B131" s="134">
        <f>B130/B129</f>
        <v>1.2287606837606837</v>
      </c>
      <c r="C131" s="4" t="s">
        <v>86</v>
      </c>
    </row>
    <row r="132" spans="1:13" ht="15" thickBot="1" x14ac:dyDescent="0.35">
      <c r="A132" s="51" t="s">
        <v>87</v>
      </c>
      <c r="B132" s="65">
        <f>B115*B134</f>
        <v>369184425.2169897</v>
      </c>
      <c r="C132" s="4" t="s">
        <v>82</v>
      </c>
      <c r="D132" s="6" t="s">
        <v>88</v>
      </c>
    </row>
    <row r="133" spans="1:13" ht="15" thickBot="1" x14ac:dyDescent="0.35">
      <c r="A133" s="51" t="s">
        <v>89</v>
      </c>
      <c r="B133" s="65">
        <f>B132*B131</f>
        <v>453639306.76342326</v>
      </c>
      <c r="C133" s="4" t="s">
        <v>69</v>
      </c>
    </row>
    <row r="134" spans="1:13" x14ac:dyDescent="0.3">
      <c r="A134" s="51" t="s">
        <v>90</v>
      </c>
      <c r="B134" s="65">
        <f>B58</f>
        <v>0.9</v>
      </c>
      <c r="C134" s="4"/>
      <c r="D134" s="6" t="s">
        <v>91</v>
      </c>
    </row>
    <row r="135" spans="1:13" x14ac:dyDescent="0.3">
      <c r="B135" s="47"/>
    </row>
    <row r="136" spans="1:13" x14ac:dyDescent="0.3">
      <c r="A136" s="39" t="s">
        <v>92</v>
      </c>
      <c r="B136" s="109">
        <v>0.25800000000000001</v>
      </c>
      <c r="C136" s="39"/>
      <c r="D136" s="6" t="s">
        <v>93</v>
      </c>
    </row>
    <row r="137" spans="1:13" x14ac:dyDescent="0.3">
      <c r="A137" s="39" t="s">
        <v>94</v>
      </c>
      <c r="B137" s="109">
        <v>0.19</v>
      </c>
      <c r="C137" s="39"/>
      <c r="D137" s="6" t="s">
        <v>93</v>
      </c>
    </row>
    <row r="138" spans="1:13" x14ac:dyDescent="0.3">
      <c r="A138" s="39" t="s">
        <v>95</v>
      </c>
      <c r="B138" s="109"/>
      <c r="C138" s="39" t="s">
        <v>96</v>
      </c>
    </row>
    <row r="139" spans="1:13" x14ac:dyDescent="0.3">
      <c r="A139" s="39" t="s">
        <v>97</v>
      </c>
      <c r="B139" s="111">
        <f>B85+B86*B87</f>
        <v>6.7604589371980786E-2</v>
      </c>
      <c r="C139" s="39">
        <v>6.7599999999999993E-2</v>
      </c>
    </row>
    <row r="140" spans="1:13" x14ac:dyDescent="0.3">
      <c r="I140" s="41" t="s">
        <v>4</v>
      </c>
    </row>
    <row r="141" spans="1:13" x14ac:dyDescent="0.3">
      <c r="A141" s="25" t="s">
        <v>98</v>
      </c>
      <c r="B141" s="25"/>
      <c r="C141" s="49" t="s">
        <v>99</v>
      </c>
      <c r="D141" s="50"/>
      <c r="E141" s="35" t="s">
        <v>100</v>
      </c>
      <c r="F141" s="22" t="s">
        <v>101</v>
      </c>
      <c r="G141" s="22" t="s">
        <v>102</v>
      </c>
      <c r="H141" s="22"/>
      <c r="I141" s="6" t="s">
        <v>103</v>
      </c>
    </row>
    <row r="142" spans="1:13" x14ac:dyDescent="0.3">
      <c r="A142" s="17" t="s">
        <v>104</v>
      </c>
      <c r="B142" s="17">
        <v>1</v>
      </c>
      <c r="C142" s="36" t="s">
        <v>105</v>
      </c>
      <c r="D142" s="37" t="s">
        <v>106</v>
      </c>
      <c r="E142" s="34"/>
      <c r="F142" s="24" t="s">
        <v>107</v>
      </c>
      <c r="G142" s="24" t="s">
        <v>108</v>
      </c>
      <c r="H142" s="22" t="s">
        <v>109</v>
      </c>
    </row>
    <row r="143" spans="1:13" x14ac:dyDescent="0.3">
      <c r="A143" s="17" t="s">
        <v>110</v>
      </c>
      <c r="B143" s="18">
        <f xml:space="preserve"> B142 * 1.004974775</f>
        <v>1.004974775</v>
      </c>
      <c r="C143" s="27" t="s">
        <v>111</v>
      </c>
      <c r="D143" s="32">
        <f xml:space="preserve"> 0.95</f>
        <v>0.95</v>
      </c>
      <c r="E143" s="26">
        <f>(B100+B103)/1000</f>
        <v>1.887E-3</v>
      </c>
      <c r="F143" s="15">
        <f>B146*D143</f>
        <v>350725203.95614022</v>
      </c>
      <c r="G143" s="15">
        <f>F143* (E143)</f>
        <v>661818.45986523665</v>
      </c>
      <c r="H143" s="14" t="s">
        <v>112</v>
      </c>
    </row>
    <row r="144" spans="1:13" x14ac:dyDescent="0.3">
      <c r="A144" s="20"/>
      <c r="B144" s="20"/>
      <c r="C144" s="27" t="s">
        <v>113</v>
      </c>
      <c r="D144" s="32">
        <v>0.2</v>
      </c>
      <c r="E144" s="28">
        <f>B104</f>
        <v>2.08</v>
      </c>
      <c r="F144" s="15">
        <f>$B$70 *D144</f>
        <v>73836885.043397948</v>
      </c>
      <c r="G144" s="14">
        <f>F144*E144</f>
        <v>153580720.89026773</v>
      </c>
      <c r="H144" s="14" t="s">
        <v>112</v>
      </c>
    </row>
    <row r="145" spans="1:8" x14ac:dyDescent="0.3">
      <c r="A145" s="25" t="s">
        <v>114</v>
      </c>
      <c r="B145" s="25"/>
      <c r="C145" s="27" t="s">
        <v>115</v>
      </c>
      <c r="D145" s="32">
        <v>2E-3</v>
      </c>
      <c r="E145" s="28">
        <f>(B105)</f>
        <v>36.344000000000001</v>
      </c>
      <c r="F145" s="15">
        <f>$B$70 *D145</f>
        <v>738368.85043397942</v>
      </c>
      <c r="G145" s="14">
        <f>F145*E145</f>
        <v>26835277.500172548</v>
      </c>
      <c r="H145" s="14" t="s">
        <v>112</v>
      </c>
    </row>
    <row r="146" spans="1:8" x14ac:dyDescent="0.3">
      <c r="A146" s="17" t="s">
        <v>116</v>
      </c>
      <c r="B146" s="19">
        <f>B132</f>
        <v>369184425.2169897</v>
      </c>
      <c r="C146" s="27" t="s">
        <v>117</v>
      </c>
      <c r="D146" s="32">
        <v>5.0000000000000001E-4</v>
      </c>
      <c r="E146" s="29">
        <f>(B106 * (1000/11.5))</f>
        <v>560.86956521739137</v>
      </c>
      <c r="F146" s="15">
        <f>($B$70 *D146) /4</f>
        <v>46148.053152123714</v>
      </c>
      <c r="G146" s="15">
        <f>(F146* E146)</f>
        <v>25883038.507060695</v>
      </c>
      <c r="H146" s="14" t="s">
        <v>112</v>
      </c>
    </row>
    <row r="147" spans="1:8" x14ac:dyDescent="0.3">
      <c r="A147" s="17" t="s">
        <v>118</v>
      </c>
      <c r="B147" s="18">
        <f xml:space="preserve"> B146 * B143</f>
        <v>371021034.66594857</v>
      </c>
      <c r="C147" s="30" t="s">
        <v>119</v>
      </c>
      <c r="D147" s="33">
        <v>0.55000000000000004</v>
      </c>
      <c r="E147" s="31" t="s">
        <v>120</v>
      </c>
      <c r="F147" s="16" t="s">
        <v>120</v>
      </c>
      <c r="G147" s="14">
        <f>D147*B146</f>
        <v>203051433.86934435</v>
      </c>
      <c r="H147" s="14" t="s">
        <v>112</v>
      </c>
    </row>
    <row r="148" spans="1:8" x14ac:dyDescent="0.3">
      <c r="A148" s="21"/>
      <c r="B148" s="21"/>
      <c r="C148" s="21"/>
      <c r="F148" s="22" t="s">
        <v>121</v>
      </c>
      <c r="G148" s="23">
        <f>SUM(G143:G147)</f>
        <v>410012289.22671056</v>
      </c>
      <c r="H148" s="24" t="s">
        <v>112</v>
      </c>
    </row>
    <row r="149" spans="1:8" x14ac:dyDescent="0.3">
      <c r="F149" t="s">
        <v>122</v>
      </c>
      <c r="G149" s="3">
        <f>SUM(G143:G146)</f>
        <v>206960855.35736623</v>
      </c>
    </row>
    <row r="151" spans="1:8" s="57" customFormat="1" x14ac:dyDescent="0.3"/>
    <row r="152" spans="1:8" x14ac:dyDescent="0.3">
      <c r="B152" s="64"/>
    </row>
    <row r="153" spans="1:8" x14ac:dyDescent="0.3">
      <c r="B153" s="64"/>
    </row>
    <row r="154" spans="1:8" x14ac:dyDescent="0.3">
      <c r="A154" t="s">
        <v>188</v>
      </c>
      <c r="B154" s="64">
        <f>J89-J13</f>
        <v>79729425.435936883</v>
      </c>
    </row>
    <row r="155" spans="1:8" x14ac:dyDescent="0.3">
      <c r="B155" s="64"/>
    </row>
    <row r="156" spans="1:8" x14ac:dyDescent="0.3">
      <c r="B156" s="64"/>
    </row>
    <row r="157" spans="1:8" x14ac:dyDescent="0.3">
      <c r="A157" t="s">
        <v>180</v>
      </c>
      <c r="B157" s="64">
        <f>B43+B46-B119-B122</f>
        <v>9657337.1575698145</v>
      </c>
    </row>
    <row r="158" spans="1:8" x14ac:dyDescent="0.3">
      <c r="B158" s="64"/>
    </row>
    <row r="159" spans="1:8" x14ac:dyDescent="0.3">
      <c r="B159" s="64"/>
    </row>
    <row r="160" spans="1:8" x14ac:dyDescent="0.3">
      <c r="B160" s="64"/>
    </row>
    <row r="161" spans="2:2" x14ac:dyDescent="0.3">
      <c r="B161" s="64"/>
    </row>
    <row r="162" spans="2:2" x14ac:dyDescent="0.3">
      <c r="B162" s="64"/>
    </row>
    <row r="163" spans="2:2" x14ac:dyDescent="0.3">
      <c r="B163" s="64"/>
    </row>
    <row r="164" spans="2:2" x14ac:dyDescent="0.3">
      <c r="B164" s="64"/>
    </row>
    <row r="165" spans="2:2" x14ac:dyDescent="0.3">
      <c r="B165" s="64"/>
    </row>
    <row r="166" spans="2:2" x14ac:dyDescent="0.3">
      <c r="B166" s="64"/>
    </row>
    <row r="167" spans="2:2" x14ac:dyDescent="0.3">
      <c r="B167" s="64"/>
    </row>
    <row r="168" spans="2:2" x14ac:dyDescent="0.3">
      <c r="B168" s="64"/>
    </row>
    <row r="169" spans="2:2" x14ac:dyDescent="0.3">
      <c r="B169" s="64"/>
    </row>
    <row r="170" spans="2:2" x14ac:dyDescent="0.3">
      <c r="B170" s="64"/>
    </row>
    <row r="171" spans="2:2" x14ac:dyDescent="0.3">
      <c r="B171" s="64"/>
    </row>
    <row r="172" spans="2:2" x14ac:dyDescent="0.3">
      <c r="B172" s="64"/>
    </row>
    <row r="173" spans="2:2" x14ac:dyDescent="0.3">
      <c r="B173" s="64"/>
    </row>
    <row r="174" spans="2:2" x14ac:dyDescent="0.3">
      <c r="B174" s="64"/>
    </row>
    <row r="175" spans="2:2" x14ac:dyDescent="0.3">
      <c r="B175" s="64"/>
    </row>
    <row r="176" spans="2:2" x14ac:dyDescent="0.3">
      <c r="B176" s="64"/>
    </row>
    <row r="177" spans="2:2" x14ac:dyDescent="0.3">
      <c r="B177" s="64"/>
    </row>
    <row r="178" spans="2:2" x14ac:dyDescent="0.3">
      <c r="B178" s="64"/>
    </row>
    <row r="179" spans="2:2" x14ac:dyDescent="0.3">
      <c r="B179" s="64"/>
    </row>
    <row r="180" spans="2:2" x14ac:dyDescent="0.3">
      <c r="B180" s="64"/>
    </row>
    <row r="181" spans="2:2" x14ac:dyDescent="0.3">
      <c r="B181" s="64"/>
    </row>
    <row r="182" spans="2:2" x14ac:dyDescent="0.3">
      <c r="B182" s="64"/>
    </row>
    <row r="183" spans="2:2" x14ac:dyDescent="0.3">
      <c r="B183" s="64"/>
    </row>
    <row r="184" spans="2:2" x14ac:dyDescent="0.3">
      <c r="B184" s="64"/>
    </row>
    <row r="185" spans="2:2" x14ac:dyDescent="0.3">
      <c r="B185" s="64"/>
    </row>
    <row r="186" spans="2:2" x14ac:dyDescent="0.3">
      <c r="B186" s="64"/>
    </row>
    <row r="187" spans="2:2" x14ac:dyDescent="0.3">
      <c r="B187" s="64"/>
    </row>
    <row r="188" spans="2:2" x14ac:dyDescent="0.3">
      <c r="B188" s="64"/>
    </row>
  </sheetData>
  <mergeCells count="6">
    <mergeCell ref="A1:C3"/>
    <mergeCell ref="G4:H13"/>
    <mergeCell ref="G80:H89"/>
    <mergeCell ref="A12:E13"/>
    <mergeCell ref="A88:E89"/>
    <mergeCell ref="A76:C78"/>
  </mergeCells>
  <hyperlinks>
    <hyperlink ref="C7" r:id="rId1" xr:uid="{1938943E-D597-4CA6-A0A2-ED738FA4E9DB}"/>
    <hyperlink ref="D24" r:id="rId2" xr:uid="{BE5432D7-216F-47B9-AFAA-B6959D3BDCC5}"/>
    <hyperlink ref="D25" r:id="rId3" xr:uid="{DF6A4642-50D3-463E-A401-68917B530AB2}"/>
    <hyperlink ref="D26" r:id="rId4" xr:uid="{E6701807-30B5-4F16-B1A4-AA2B0C991990}"/>
    <hyperlink ref="D27" r:id="rId5" xr:uid="{04CB072A-B435-464E-8363-680572FB5CFF}"/>
    <hyperlink ref="D15" r:id="rId6" location="FixedSupplyRateFixedAndVariable_2" xr:uid="{6C913304-679F-4C31-8B0E-9F7F374085F5}"/>
    <hyperlink ref="D60" r:id="rId7" xr:uid="{D567B62F-53FE-4A1D-9D72-BB3B23C0791E}"/>
    <hyperlink ref="D61" r:id="rId8" xr:uid="{61EEB4CE-00A3-410B-9409-89190A27B646}"/>
    <hyperlink ref="D29" r:id="rId9" xr:uid="{B48DA4AD-D111-4BA1-93B6-3230C09A26E7}"/>
    <hyperlink ref="D30" r:id="rId10" xr:uid="{98EEA0B9-0ED8-4F19-82E9-65738DCD6476}"/>
    <hyperlink ref="C8" r:id="rId11" xr:uid="{6FE66CAE-77DF-4B7A-8501-99B30EA017D6}"/>
    <hyperlink ref="C10" r:id="rId12" xr:uid="{F0187605-C25B-4FBA-AB06-BB3F0A7FE6CE}"/>
    <hyperlink ref="D28" r:id="rId13" xr:uid="{A2D6AAF3-D660-4A97-B662-D4AE557F2B20}"/>
    <hyperlink ref="D16:D23" r:id="rId14" location="FixedSupplyRateFixedAndVariable_2" display="https://www.cbs.nl/en-gb/figures/detail/85592ENG#FixedSupplyRateFixedAndVariable_2" xr:uid="{E0174445-7CB0-47AD-8711-F2FB6B17FEE8}"/>
    <hyperlink ref="C11" r:id="rId15" xr:uid="{94B203F9-1F9E-43A6-803A-587124988C32}"/>
    <hyperlink ref="D58" r:id="rId16" xr:uid="{74E05B7A-8833-49A2-ADE3-00BFD953953D}"/>
    <hyperlink ref="D53" r:id="rId17" xr:uid="{609D6FCD-108F-4919-9DC1-21A3BF63AED6}"/>
    <hyperlink ref="D54" r:id="rId18" xr:uid="{34EB54AE-CDCC-41A0-935A-9661ECF68903}"/>
    <hyperlink ref="D56" r:id="rId19" xr:uid="{8B8E594C-9A1E-4A19-99D2-9B1398ED6C81}"/>
    <hyperlink ref="D32" r:id="rId20" xr:uid="{0EBF2EBE-5AA7-48E7-9027-BBE8BEBE790E}"/>
    <hyperlink ref="I65" r:id="rId21" xr:uid="{380143AA-9B76-4822-8192-61EB83819BA4}"/>
    <hyperlink ref="D34" r:id="rId22" xr:uid="{E8603371-6AA6-43C8-909B-BE4BC32A168E}"/>
    <hyperlink ref="D41" r:id="rId23" xr:uid="{69B4704B-8881-47AE-BD1F-E64908F9FBA1}"/>
    <hyperlink ref="D42" r:id="rId24" xr:uid="{07041630-C37E-4B8E-8AFC-9DB6AD01769C}"/>
    <hyperlink ref="J42" r:id="rId25" xr:uid="{9357F36D-F298-4E42-A9D7-02973A5DFB27}"/>
    <hyperlink ref="N42" r:id="rId26" xr:uid="{775B4940-39CD-429A-88D3-55067FF4B53C}"/>
    <hyperlink ref="C83" r:id="rId27" xr:uid="{833D9EA0-8FB5-4FF0-8FBF-E7F21DDE8426}"/>
    <hyperlink ref="D100" r:id="rId28" xr:uid="{EC6F8F9A-88D4-4BB3-A8B5-0A227CB8B743}"/>
    <hyperlink ref="D101" r:id="rId29" xr:uid="{5F001CC3-45A5-45C1-903A-4A8BBED7FC7F}"/>
    <hyperlink ref="D102" r:id="rId30" xr:uid="{9630E353-1A81-4A1A-8EB8-7EED19E67E13}"/>
    <hyperlink ref="D103" r:id="rId31" xr:uid="{C79110A1-A6A4-4BB2-86C3-85FBB2E462CF}"/>
    <hyperlink ref="D91" r:id="rId32" location="FixedSupplyRateFixedAndVariable_2" xr:uid="{9F52FCE6-E797-4F0C-9024-8BD6484AD4BD}"/>
    <hyperlink ref="D136" r:id="rId33" xr:uid="{D514A118-99BF-44E3-BF85-C4F57A8FAADB}"/>
    <hyperlink ref="D137" r:id="rId34" xr:uid="{BD93C338-D997-4E16-A617-A4E4A68E6272}"/>
    <hyperlink ref="D105" r:id="rId35" xr:uid="{A83B434B-F0FA-4952-B815-3A65264F9F28}"/>
    <hyperlink ref="D106" r:id="rId36" xr:uid="{446ED436-AE75-41E2-B781-F3D0EBC17FB7}"/>
    <hyperlink ref="C84" r:id="rId37" xr:uid="{CAD8DA3E-DD73-4124-9B10-7BFB125C66C0}"/>
    <hyperlink ref="C86" r:id="rId38" xr:uid="{95FE7CFC-7763-460F-8E00-60EBF2E2424A}"/>
    <hyperlink ref="D104" r:id="rId39" xr:uid="{72B97656-0305-45F1-B127-461A14AE7492}"/>
    <hyperlink ref="D92:D99" r:id="rId40" location="FixedSupplyRateFixedAndVariable_2" display="https://www.cbs.nl/en-gb/figures/detail/85592ENG#FixedSupplyRateFixedAndVariable_2" xr:uid="{F02D85AF-0921-41E0-B950-7DE9AA5494B7}"/>
    <hyperlink ref="C87" r:id="rId41" xr:uid="{3F5CE781-6956-4EEF-AE6A-C6EE6A3DE744}"/>
    <hyperlink ref="D134" r:id="rId42" xr:uid="{2283E5C2-BF9E-4A42-B066-3579CFFDAFFA}"/>
    <hyperlink ref="D129" r:id="rId43" xr:uid="{9CDBD46D-3CF4-4C8C-9DC4-8845C6606F1B}"/>
    <hyperlink ref="D130" r:id="rId44" xr:uid="{FDD2EBD5-D0AB-4DCD-8FBF-B0DB3B90C741}"/>
    <hyperlink ref="D132" r:id="rId45" xr:uid="{44EC9B1E-D7D0-4560-A32A-B434C9273EF5}"/>
    <hyperlink ref="I141" r:id="rId46" xr:uid="{D4D13E12-3688-4B65-A595-B02194AD6D19}"/>
    <hyperlink ref="D110" r:id="rId47" xr:uid="{5AFA171F-4815-46C2-BAB4-3B0B056A42C9}"/>
    <hyperlink ref="D117" r:id="rId48" xr:uid="{750E86FC-C036-45CE-A414-CE071453F256}"/>
    <hyperlink ref="D118" r:id="rId49" xr:uid="{BC464906-91C8-464B-8C43-9A40F8392478}"/>
    <hyperlink ref="J118" r:id="rId50" xr:uid="{3B655E98-3FC9-478E-9EAD-EF781583952F}"/>
    <hyperlink ref="N118" r:id="rId51" xr:uid="{78838383-6A13-4422-A3AE-C47B46028DCB}"/>
    <hyperlink ref="N47" r:id="rId52" xr:uid="{19051CCD-7DC6-4C91-8223-179C509D7093}"/>
    <hyperlink ref="N52" r:id="rId53" xr:uid="{460BE360-3B99-4F08-BE3C-4564C4EDAC76}"/>
    <hyperlink ref="N48" r:id="rId54" xr:uid="{C9797D27-52A4-4137-8B4F-F37A10B18AAC}"/>
    <hyperlink ref="N53" r:id="rId55" xr:uid="{BE1F502C-EE84-4B00-8E15-425FE3F96C31}"/>
  </hyperlinks>
  <pageMargins left="0.7" right="0.7" top="0.75" bottom="0.75" header="0.3" footer="0.3"/>
  <legacyDrawing r:id="rId5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EF6B-0416-495D-8E97-F9911C7827B8}">
  <dimension ref="A1:AD154"/>
  <sheetViews>
    <sheetView tabSelected="1" topLeftCell="A46" zoomScale="46" zoomScaleNormal="85" workbookViewId="0">
      <selection activeCell="G81" sqref="G81"/>
    </sheetView>
  </sheetViews>
  <sheetFormatPr defaultRowHeight="14.4" x14ac:dyDescent="0.3"/>
  <cols>
    <col min="1" max="1" width="159.21875" bestFit="1" customWidth="1"/>
    <col min="2" max="2" width="21.21875" bestFit="1" customWidth="1"/>
    <col min="3" max="3" width="17.5546875" bestFit="1" customWidth="1"/>
    <col min="4" max="4" width="11.77734375" customWidth="1"/>
    <col min="5" max="5" width="12.21875" customWidth="1"/>
    <col min="6" max="6" width="22.21875" customWidth="1"/>
    <col min="7" max="7" width="27.21875" bestFit="1" customWidth="1"/>
    <col min="8" max="8" width="14.21875" bestFit="1" customWidth="1"/>
    <col min="9" max="30" width="20.77734375" customWidth="1"/>
  </cols>
  <sheetData>
    <row r="1" spans="1:30" x14ac:dyDescent="0.3">
      <c r="A1" s="55" t="s">
        <v>151</v>
      </c>
    </row>
    <row r="2" spans="1:30" x14ac:dyDescent="0.3">
      <c r="A2" t="s">
        <v>152</v>
      </c>
    </row>
    <row r="3" spans="1:30" x14ac:dyDescent="0.3">
      <c r="A3" t="s">
        <v>158</v>
      </c>
    </row>
    <row r="4" spans="1:30" x14ac:dyDescent="0.3">
      <c r="A4" t="s">
        <v>155</v>
      </c>
      <c r="G4" s="119" t="s">
        <v>201</v>
      </c>
      <c r="H4" s="120"/>
      <c r="I4" s="97"/>
      <c r="J4" s="95">
        <v>0</v>
      </c>
      <c r="K4" s="95">
        <v>1</v>
      </c>
      <c r="L4" s="95">
        <v>2</v>
      </c>
      <c r="M4" s="95">
        <v>3</v>
      </c>
      <c r="N4" s="95">
        <v>4</v>
      </c>
      <c r="O4" s="95">
        <v>5</v>
      </c>
      <c r="P4" s="95">
        <v>6</v>
      </c>
      <c r="Q4" s="95">
        <v>7</v>
      </c>
      <c r="R4" s="95">
        <v>8</v>
      </c>
      <c r="S4" s="95">
        <v>9</v>
      </c>
      <c r="T4" s="95">
        <v>10</v>
      </c>
      <c r="U4" s="95">
        <v>11</v>
      </c>
      <c r="V4" s="95">
        <v>12</v>
      </c>
      <c r="W4" s="95">
        <v>13</v>
      </c>
      <c r="X4" s="95">
        <v>14</v>
      </c>
      <c r="Y4" s="95">
        <v>15</v>
      </c>
      <c r="Z4" s="95">
        <v>16</v>
      </c>
      <c r="AA4" s="95">
        <v>17</v>
      </c>
      <c r="AB4" s="95">
        <v>18</v>
      </c>
      <c r="AC4" s="95">
        <v>19</v>
      </c>
      <c r="AD4" s="96">
        <v>20</v>
      </c>
    </row>
    <row r="5" spans="1:30" ht="14.4" customHeight="1" x14ac:dyDescent="0.3">
      <c r="A5" t="s">
        <v>159</v>
      </c>
      <c r="G5" s="121"/>
      <c r="H5" s="122"/>
      <c r="I5" s="89" t="s">
        <v>0</v>
      </c>
      <c r="J5" s="100">
        <f>-B50</f>
        <v>-627574</v>
      </c>
      <c r="K5" s="79">
        <f t="shared" ref="K5:AD5" si="0">-$B$48</f>
        <v>-1392000</v>
      </c>
      <c r="L5" s="79">
        <f t="shared" si="0"/>
        <v>-1392000</v>
      </c>
      <c r="M5" s="79">
        <f t="shared" si="0"/>
        <v>-1392000</v>
      </c>
      <c r="N5" s="79">
        <f t="shared" si="0"/>
        <v>-1392000</v>
      </c>
      <c r="O5" s="79">
        <f t="shared" si="0"/>
        <v>-1392000</v>
      </c>
      <c r="P5" s="79">
        <f t="shared" si="0"/>
        <v>-1392000</v>
      </c>
      <c r="Q5" s="79">
        <f t="shared" si="0"/>
        <v>-1392000</v>
      </c>
      <c r="R5" s="79">
        <f t="shared" si="0"/>
        <v>-1392000</v>
      </c>
      <c r="S5" s="79">
        <f t="shared" si="0"/>
        <v>-1392000</v>
      </c>
      <c r="T5" s="79">
        <f t="shared" si="0"/>
        <v>-1392000</v>
      </c>
      <c r="U5" s="79">
        <f t="shared" si="0"/>
        <v>-1392000</v>
      </c>
      <c r="V5" s="79">
        <f t="shared" si="0"/>
        <v>-1392000</v>
      </c>
      <c r="W5" s="79">
        <f t="shared" si="0"/>
        <v>-1392000</v>
      </c>
      <c r="X5" s="79">
        <f t="shared" si="0"/>
        <v>-1392000</v>
      </c>
      <c r="Y5" s="79">
        <f t="shared" si="0"/>
        <v>-1392000</v>
      </c>
      <c r="Z5" s="79">
        <f t="shared" si="0"/>
        <v>-1392000</v>
      </c>
      <c r="AA5" s="79">
        <f t="shared" si="0"/>
        <v>-1392000</v>
      </c>
      <c r="AB5" s="79">
        <f t="shared" si="0"/>
        <v>-1392000</v>
      </c>
      <c r="AC5" s="79">
        <f t="shared" si="0"/>
        <v>-1392000</v>
      </c>
      <c r="AD5" s="80">
        <f t="shared" si="0"/>
        <v>-1392000</v>
      </c>
    </row>
    <row r="6" spans="1:30" ht="14.4" customHeight="1" x14ac:dyDescent="0.3">
      <c r="A6" t="s">
        <v>156</v>
      </c>
      <c r="G6" s="121"/>
      <c r="H6" s="122"/>
      <c r="I6" s="90" t="s">
        <v>1</v>
      </c>
      <c r="J6" s="101">
        <v>0</v>
      </c>
      <c r="K6" s="81">
        <f t="shared" ref="K6:AD6" si="1">-$B$49</f>
        <v>-2597807.6178260869</v>
      </c>
      <c r="L6" s="81">
        <f t="shared" si="1"/>
        <v>-2597807.6178260869</v>
      </c>
      <c r="M6" s="81">
        <f t="shared" si="1"/>
        <v>-2597807.6178260869</v>
      </c>
      <c r="N6" s="81">
        <f t="shared" si="1"/>
        <v>-2597807.6178260869</v>
      </c>
      <c r="O6" s="81">
        <f t="shared" si="1"/>
        <v>-2597807.6178260869</v>
      </c>
      <c r="P6" s="81">
        <f t="shared" si="1"/>
        <v>-2597807.6178260869</v>
      </c>
      <c r="Q6" s="81">
        <f t="shared" si="1"/>
        <v>-2597807.6178260869</v>
      </c>
      <c r="R6" s="81">
        <f t="shared" si="1"/>
        <v>-2597807.6178260869</v>
      </c>
      <c r="S6" s="81">
        <f t="shared" si="1"/>
        <v>-2597807.6178260869</v>
      </c>
      <c r="T6" s="81">
        <f t="shared" si="1"/>
        <v>-2597807.6178260869</v>
      </c>
      <c r="U6" s="81">
        <f t="shared" si="1"/>
        <v>-2597807.6178260869</v>
      </c>
      <c r="V6" s="81">
        <f t="shared" si="1"/>
        <v>-2597807.6178260869</v>
      </c>
      <c r="W6" s="81">
        <f t="shared" si="1"/>
        <v>-2597807.6178260869</v>
      </c>
      <c r="X6" s="81">
        <f t="shared" si="1"/>
        <v>-2597807.6178260869</v>
      </c>
      <c r="Y6" s="81">
        <f t="shared" si="1"/>
        <v>-2597807.6178260869</v>
      </c>
      <c r="Z6" s="81">
        <f t="shared" si="1"/>
        <v>-2597807.6178260869</v>
      </c>
      <c r="AA6" s="81">
        <f t="shared" si="1"/>
        <v>-2597807.6178260869</v>
      </c>
      <c r="AB6" s="81">
        <f t="shared" si="1"/>
        <v>-2597807.6178260869</v>
      </c>
      <c r="AC6" s="81">
        <f t="shared" si="1"/>
        <v>-2597807.6178260869</v>
      </c>
      <c r="AD6" s="82">
        <f t="shared" si="1"/>
        <v>-2597807.6178260869</v>
      </c>
    </row>
    <row r="7" spans="1:30" ht="14.4" customHeight="1" x14ac:dyDescent="0.3">
      <c r="A7" t="s">
        <v>157</v>
      </c>
      <c r="G7" s="121"/>
      <c r="H7" s="122"/>
      <c r="I7" s="91" t="s">
        <v>2</v>
      </c>
      <c r="J7" s="102">
        <v>0</v>
      </c>
      <c r="K7" s="83">
        <f t="shared" ref="K7:AD7" si="2">$B$57</f>
        <v>2875300</v>
      </c>
      <c r="L7" s="83">
        <f t="shared" si="2"/>
        <v>2875300</v>
      </c>
      <c r="M7" s="83">
        <f t="shared" si="2"/>
        <v>2875300</v>
      </c>
      <c r="N7" s="83">
        <f t="shared" si="2"/>
        <v>2875300</v>
      </c>
      <c r="O7" s="83">
        <f t="shared" si="2"/>
        <v>2875300</v>
      </c>
      <c r="P7" s="83">
        <f t="shared" si="2"/>
        <v>2875300</v>
      </c>
      <c r="Q7" s="83">
        <f t="shared" si="2"/>
        <v>2875300</v>
      </c>
      <c r="R7" s="83">
        <f t="shared" si="2"/>
        <v>2875300</v>
      </c>
      <c r="S7" s="83">
        <f t="shared" si="2"/>
        <v>2875300</v>
      </c>
      <c r="T7" s="83">
        <f t="shared" si="2"/>
        <v>2875300</v>
      </c>
      <c r="U7" s="83">
        <f t="shared" si="2"/>
        <v>2875300</v>
      </c>
      <c r="V7" s="83">
        <f t="shared" si="2"/>
        <v>2875300</v>
      </c>
      <c r="W7" s="83">
        <f t="shared" si="2"/>
        <v>2875300</v>
      </c>
      <c r="X7" s="83">
        <f t="shared" si="2"/>
        <v>2875300</v>
      </c>
      <c r="Y7" s="83">
        <f t="shared" si="2"/>
        <v>2875300</v>
      </c>
      <c r="Z7" s="83">
        <f t="shared" si="2"/>
        <v>2875300</v>
      </c>
      <c r="AA7" s="83">
        <f t="shared" si="2"/>
        <v>2875300</v>
      </c>
      <c r="AB7" s="83">
        <f t="shared" si="2"/>
        <v>2875300</v>
      </c>
      <c r="AC7" s="83">
        <f t="shared" si="2"/>
        <v>2875300</v>
      </c>
      <c r="AD7" s="84">
        <f t="shared" si="2"/>
        <v>2875300</v>
      </c>
    </row>
    <row r="8" spans="1:30" ht="14.4" customHeight="1" x14ac:dyDescent="0.3">
      <c r="A8" s="133" t="s">
        <v>202</v>
      </c>
      <c r="B8" s="128"/>
      <c r="C8" s="128"/>
      <c r="D8" s="128"/>
      <c r="E8" s="116"/>
      <c r="G8" s="121"/>
      <c r="H8" s="122"/>
      <c r="I8" s="91" t="s">
        <v>3</v>
      </c>
      <c r="J8" s="102">
        <f t="shared" ref="J8:AC8" si="3">SUM(J5:J7)</f>
        <v>-627574</v>
      </c>
      <c r="K8" s="83">
        <f t="shared" si="3"/>
        <v>-1114507.6178260869</v>
      </c>
      <c r="L8" s="83">
        <f t="shared" si="3"/>
        <v>-1114507.6178260869</v>
      </c>
      <c r="M8" s="83">
        <f t="shared" si="3"/>
        <v>-1114507.6178260869</v>
      </c>
      <c r="N8" s="83">
        <f t="shared" si="3"/>
        <v>-1114507.6178260869</v>
      </c>
      <c r="O8" s="83">
        <f t="shared" si="3"/>
        <v>-1114507.6178260869</v>
      </c>
      <c r="P8" s="83">
        <f t="shared" si="3"/>
        <v>-1114507.6178260869</v>
      </c>
      <c r="Q8" s="83">
        <f t="shared" si="3"/>
        <v>-1114507.6178260869</v>
      </c>
      <c r="R8" s="83">
        <f t="shared" si="3"/>
        <v>-1114507.6178260869</v>
      </c>
      <c r="S8" s="83">
        <f t="shared" si="3"/>
        <v>-1114507.6178260869</v>
      </c>
      <c r="T8" s="83">
        <f t="shared" si="3"/>
        <v>-1114507.6178260869</v>
      </c>
      <c r="U8" s="83">
        <f t="shared" si="3"/>
        <v>-1114507.6178260869</v>
      </c>
      <c r="V8" s="83">
        <f t="shared" si="3"/>
        <v>-1114507.6178260869</v>
      </c>
      <c r="W8" s="83">
        <f t="shared" si="3"/>
        <v>-1114507.6178260869</v>
      </c>
      <c r="X8" s="83">
        <f t="shared" si="3"/>
        <v>-1114507.6178260869</v>
      </c>
      <c r="Y8" s="83">
        <f t="shared" si="3"/>
        <v>-1114507.6178260869</v>
      </c>
      <c r="Z8" s="83">
        <f t="shared" si="3"/>
        <v>-1114507.6178260869</v>
      </c>
      <c r="AA8" s="83">
        <f t="shared" si="3"/>
        <v>-1114507.6178260869</v>
      </c>
      <c r="AB8" s="83">
        <f t="shared" si="3"/>
        <v>-1114507.6178260869</v>
      </c>
      <c r="AC8" s="83">
        <f t="shared" si="3"/>
        <v>-1114507.6178260869</v>
      </c>
      <c r="AD8" s="84">
        <f t="shared" ref="AD8" si="4">SUM(AD5:AD7)</f>
        <v>-1114507.6178260869</v>
      </c>
    </row>
    <row r="9" spans="1:30" ht="14.4" customHeight="1" x14ac:dyDescent="0.3">
      <c r="A9" s="117"/>
      <c r="B9" s="129"/>
      <c r="C9" s="129"/>
      <c r="D9" s="129"/>
      <c r="E9" s="118"/>
      <c r="G9" s="121"/>
      <c r="H9" s="122"/>
      <c r="I9" s="91" t="s">
        <v>5</v>
      </c>
      <c r="J9" s="102">
        <f>SUM(J6:J8)</f>
        <v>-627574</v>
      </c>
      <c r="K9" s="83">
        <f t="shared" ref="K9:AD9" si="5">(1-$B$60)*K8</f>
        <v>-826964.65242695645</v>
      </c>
      <c r="L9" s="83">
        <f t="shared" si="5"/>
        <v>-826964.65242695645</v>
      </c>
      <c r="M9" s="83">
        <f t="shared" si="5"/>
        <v>-826964.65242695645</v>
      </c>
      <c r="N9" s="83">
        <f t="shared" si="5"/>
        <v>-826964.65242695645</v>
      </c>
      <c r="O9" s="83">
        <f t="shared" si="5"/>
        <v>-826964.65242695645</v>
      </c>
      <c r="P9" s="83">
        <f t="shared" si="5"/>
        <v>-826964.65242695645</v>
      </c>
      <c r="Q9" s="83">
        <f t="shared" si="5"/>
        <v>-826964.65242695645</v>
      </c>
      <c r="R9" s="83">
        <f t="shared" si="5"/>
        <v>-826964.65242695645</v>
      </c>
      <c r="S9" s="83">
        <f t="shared" si="5"/>
        <v>-826964.65242695645</v>
      </c>
      <c r="T9" s="83">
        <f t="shared" si="5"/>
        <v>-826964.65242695645</v>
      </c>
      <c r="U9" s="83">
        <f t="shared" si="5"/>
        <v>-826964.65242695645</v>
      </c>
      <c r="V9" s="83">
        <f t="shared" si="5"/>
        <v>-826964.65242695645</v>
      </c>
      <c r="W9" s="83">
        <f t="shared" si="5"/>
        <v>-826964.65242695645</v>
      </c>
      <c r="X9" s="83">
        <f t="shared" si="5"/>
        <v>-826964.65242695645</v>
      </c>
      <c r="Y9" s="83">
        <f t="shared" si="5"/>
        <v>-826964.65242695645</v>
      </c>
      <c r="Z9" s="83">
        <f t="shared" si="5"/>
        <v>-826964.65242695645</v>
      </c>
      <c r="AA9" s="83">
        <f t="shared" si="5"/>
        <v>-826964.65242695645</v>
      </c>
      <c r="AB9" s="83">
        <f t="shared" si="5"/>
        <v>-826964.65242695645</v>
      </c>
      <c r="AC9" s="83">
        <f t="shared" si="5"/>
        <v>-826964.65242695645</v>
      </c>
      <c r="AD9" s="84">
        <f t="shared" si="5"/>
        <v>-826964.65242695645</v>
      </c>
    </row>
    <row r="10" spans="1:30" ht="14.4" customHeight="1" x14ac:dyDescent="0.3">
      <c r="A10" s="55" t="s">
        <v>6</v>
      </c>
      <c r="B10" s="125">
        <v>3.5000000000000003E-2</v>
      </c>
      <c r="C10" s="6" t="s">
        <v>7</v>
      </c>
      <c r="G10" s="121"/>
      <c r="H10" s="122"/>
      <c r="I10" s="98" t="s">
        <v>8</v>
      </c>
      <c r="J10" s="114">
        <f>J9</f>
        <v>-627574</v>
      </c>
      <c r="K10" s="85">
        <f>PV($B$63,K4,,-K9)</f>
        <v>-774598.25543970265</v>
      </c>
      <c r="L10" s="85">
        <f>PV($B$63,L4,,-L9)</f>
        <v>-725547.88837631419</v>
      </c>
      <c r="M10" s="85">
        <f>PV($B$63,M4,,-M9)</f>
        <v>-679603.56821163383</v>
      </c>
      <c r="N10" s="85">
        <f>PV($B$63,N4,,-N9)</f>
        <v>-636568.60880619776</v>
      </c>
      <c r="O10" s="85">
        <f>PV($B$63,O4,,-O9)</f>
        <v>-596258.77889927372</v>
      </c>
      <c r="P10" s="85">
        <f>PV($B$63,P4,,-P9)</f>
        <v>-558501.51342082873</v>
      </c>
      <c r="Q10" s="85">
        <f>PV($B$63,Q4,,-Q9)</f>
        <v>-523135.17474608059</v>
      </c>
      <c r="R10" s="85">
        <f>PV($B$63,R4,,-R9)</f>
        <v>-490008.3607300857</v>
      </c>
      <c r="S10" s="85">
        <f>PV($B$63,S4,,-S9)</f>
        <v>-458979.25656008418</v>
      </c>
      <c r="T10" s="85">
        <f>PV($B$63,T4,,-T9)</f>
        <v>-429915.02765090129</v>
      </c>
      <c r="U10" s="85">
        <f>PV($B$63,U4,,-U9)</f>
        <v>-402691.25098441093</v>
      </c>
      <c r="V10" s="85">
        <f>PV($B$63,V4,,-V9)</f>
        <v>-377191.38245864451</v>
      </c>
      <c r="W10" s="85">
        <f>PV($B$63,W4,,-W9)</f>
        <v>-353306.25796628284</v>
      </c>
      <c r="X10" s="85">
        <f>PV($B$63,X4,,-X9)</f>
        <v>-330933.62606666534</v>
      </c>
      <c r="Y10" s="85">
        <f>PV($B$63,Y4,,-Y9)</f>
        <v>-309977.71025069989</v>
      </c>
      <c r="Z10" s="85">
        <f>PV($B$63,Z4,,-Z9)</f>
        <v>-290348.79892474471</v>
      </c>
      <c r="AA10" s="85">
        <f>PV($B$63,AA4,,-AA9)</f>
        <v>-271962.86135819502</v>
      </c>
      <c r="AB10" s="85">
        <f>PV($B$63,AB4,,-AB9)</f>
        <v>-254741.18795066007</v>
      </c>
      <c r="AC10" s="85">
        <f>PV($B$63,AC4,,-AC9)</f>
        <v>-238610.05327872536</v>
      </c>
      <c r="AD10" s="86">
        <f>PV($B$63,AD4,,-AD9)</f>
        <v>-223500.40047981427</v>
      </c>
    </row>
    <row r="11" spans="1:30" ht="14.4" customHeight="1" x14ac:dyDescent="0.3">
      <c r="A11" s="55" t="s">
        <v>9</v>
      </c>
      <c r="B11" s="126">
        <v>0.06</v>
      </c>
      <c r="C11" s="6" t="s">
        <v>10</v>
      </c>
      <c r="G11" s="121"/>
      <c r="H11" s="122"/>
      <c r="I11" s="98" t="s">
        <v>11</v>
      </c>
      <c r="J11" s="115">
        <f>J10</f>
        <v>-627574</v>
      </c>
      <c r="K11" s="87">
        <f t="shared" ref="K11:AD11" si="6">K10+J11</f>
        <v>-1402172.2554397027</v>
      </c>
      <c r="L11" s="87">
        <f t="shared" si="6"/>
        <v>-2127720.1438160166</v>
      </c>
      <c r="M11" s="87">
        <f t="shared" si="6"/>
        <v>-2807323.7120276503</v>
      </c>
      <c r="N11" s="87">
        <f t="shared" si="6"/>
        <v>-3443892.3208338479</v>
      </c>
      <c r="O11" s="87">
        <f t="shared" si="6"/>
        <v>-4040151.0997331217</v>
      </c>
      <c r="P11" s="87">
        <f t="shared" si="6"/>
        <v>-4598652.6131539503</v>
      </c>
      <c r="Q11" s="87">
        <f t="shared" si="6"/>
        <v>-5121787.7879000306</v>
      </c>
      <c r="R11" s="87">
        <f t="shared" si="6"/>
        <v>-5611796.1486301161</v>
      </c>
      <c r="S11" s="87">
        <f t="shared" si="6"/>
        <v>-6070775.4051902005</v>
      </c>
      <c r="T11" s="87">
        <f t="shared" si="6"/>
        <v>-6500690.4328411017</v>
      </c>
      <c r="U11" s="87">
        <f t="shared" si="6"/>
        <v>-6903381.6838255124</v>
      </c>
      <c r="V11" s="87">
        <f t="shared" si="6"/>
        <v>-7280573.0662841573</v>
      </c>
      <c r="W11" s="87">
        <f t="shared" si="6"/>
        <v>-7633879.3242504401</v>
      </c>
      <c r="X11" s="87">
        <f t="shared" si="6"/>
        <v>-7964812.9503171053</v>
      </c>
      <c r="Y11" s="87">
        <f t="shared" si="6"/>
        <v>-8274790.6605678052</v>
      </c>
      <c r="Z11" s="87">
        <f t="shared" si="6"/>
        <v>-8565139.4594925493</v>
      </c>
      <c r="AA11" s="87">
        <f t="shared" si="6"/>
        <v>-8837102.3208507448</v>
      </c>
      <c r="AB11" s="87">
        <f t="shared" si="6"/>
        <v>-9091843.5088014044</v>
      </c>
      <c r="AC11" s="87">
        <f t="shared" si="6"/>
        <v>-9330453.56208013</v>
      </c>
      <c r="AD11" s="88">
        <f t="shared" si="6"/>
        <v>-9553953.962559944</v>
      </c>
    </row>
    <row r="12" spans="1:30" ht="14.4" customHeight="1" x14ac:dyDescent="0.3">
      <c r="A12" s="55" t="s">
        <v>12</v>
      </c>
      <c r="B12" s="125">
        <f>((1+B11)/(1+B10))-1</f>
        <v>2.4154589371980784E-2</v>
      </c>
      <c r="C12" s="6"/>
      <c r="G12" s="121"/>
      <c r="H12" s="122"/>
      <c r="I12" s="75" t="s">
        <v>13</v>
      </c>
      <c r="J12" s="78" t="str">
        <f>IF(ISNUMBER(IRR(J9:AD9)),IRR(J9:AD9),"Loss Too Large")</f>
        <v>Loss Too Large</v>
      </c>
      <c r="K12" s="13"/>
      <c r="L12" s="13"/>
      <c r="M12" s="13"/>
      <c r="N12" s="13"/>
      <c r="O12" s="13"/>
      <c r="P12" s="13"/>
      <c r="Q12" s="13"/>
      <c r="R12" s="13"/>
      <c r="S12" s="13"/>
      <c r="T12" s="13"/>
      <c r="U12" s="13"/>
      <c r="V12" s="13"/>
      <c r="W12" s="13"/>
      <c r="X12" s="13"/>
      <c r="Y12" s="13"/>
      <c r="Z12" s="13"/>
      <c r="AA12" s="13"/>
      <c r="AB12" s="13"/>
      <c r="AC12" s="13"/>
      <c r="AD12" s="13"/>
    </row>
    <row r="13" spans="1:30" ht="14.4" customHeight="1" x14ac:dyDescent="0.3">
      <c r="A13" s="55" t="s">
        <v>14</v>
      </c>
      <c r="B13" s="127">
        <v>0.79</v>
      </c>
      <c r="C13" s="6" t="s">
        <v>15</v>
      </c>
      <c r="G13" s="123"/>
      <c r="H13" s="124"/>
      <c r="I13" s="76" t="s">
        <v>16</v>
      </c>
      <c r="J13" s="74">
        <f>NPV(C63,(K9:AD9))+J9</f>
        <v>-9554275.710126983</v>
      </c>
      <c r="K13" s="13"/>
      <c r="L13" s="13"/>
      <c r="M13" s="13"/>
      <c r="N13" s="13"/>
      <c r="O13" s="13"/>
      <c r="P13" s="13"/>
      <c r="Q13" s="13"/>
      <c r="R13" s="13"/>
      <c r="S13" s="13"/>
      <c r="T13" s="13"/>
      <c r="U13" s="13"/>
      <c r="V13" s="13"/>
      <c r="W13" s="13"/>
      <c r="X13" s="13"/>
      <c r="Y13" s="13"/>
      <c r="Z13" s="13"/>
      <c r="AA13" s="13"/>
      <c r="AB13" s="13"/>
      <c r="AC13" s="13"/>
      <c r="AD13" s="13"/>
    </row>
    <row r="14" spans="1:30" ht="15" customHeight="1" thickBot="1" x14ac:dyDescent="0.35">
      <c r="A14" s="55" t="s">
        <v>17</v>
      </c>
      <c r="B14" s="125">
        <v>5.5E-2</v>
      </c>
      <c r="C14" s="6" t="s">
        <v>18</v>
      </c>
      <c r="D14" s="41" t="s">
        <v>4</v>
      </c>
    </row>
    <row r="15" spans="1:30" ht="15" thickBot="1" x14ac:dyDescent="0.35">
      <c r="A15" s="7" t="s">
        <v>20</v>
      </c>
      <c r="B15" s="45">
        <v>268.37</v>
      </c>
      <c r="C15" s="4" t="s">
        <v>21</v>
      </c>
      <c r="D15" s="6" t="s">
        <v>22</v>
      </c>
    </row>
    <row r="16" spans="1:30" ht="15" thickBot="1" x14ac:dyDescent="0.35">
      <c r="A16" s="7" t="s">
        <v>23</v>
      </c>
      <c r="B16" s="45">
        <v>92.61</v>
      </c>
      <c r="C16" s="4" t="s">
        <v>24</v>
      </c>
      <c r="D16" s="6" t="s">
        <v>25</v>
      </c>
    </row>
    <row r="17" spans="1:7" ht="15" thickBot="1" x14ac:dyDescent="0.35">
      <c r="A17" s="7" t="s">
        <v>26</v>
      </c>
      <c r="B17" s="45">
        <v>0.57830000000000004</v>
      </c>
      <c r="C17" s="4" t="s">
        <v>27</v>
      </c>
      <c r="D17" s="6" t="s">
        <v>28</v>
      </c>
    </row>
    <row r="18" spans="1:7" ht="15" thickBot="1" x14ac:dyDescent="0.35">
      <c r="A18" s="7" t="s">
        <v>29</v>
      </c>
      <c r="B18" s="45">
        <v>0.7268</v>
      </c>
      <c r="C18" s="4" t="s">
        <v>27</v>
      </c>
      <c r="D18" s="6" t="s">
        <v>30</v>
      </c>
    </row>
    <row r="19" spans="1:7" ht="15" thickBot="1" x14ac:dyDescent="0.35">
      <c r="A19" s="11" t="s">
        <v>31</v>
      </c>
      <c r="B19" s="45">
        <v>476.87</v>
      </c>
      <c r="C19" s="4" t="s">
        <v>24</v>
      </c>
      <c r="D19" s="6" t="s">
        <v>32</v>
      </c>
    </row>
    <row r="20" spans="1:7" ht="15" thickBot="1" x14ac:dyDescent="0.35">
      <c r="A20" s="11" t="s">
        <v>23</v>
      </c>
      <c r="B20" s="45">
        <v>112.95</v>
      </c>
      <c r="C20" s="4" t="s">
        <v>24</v>
      </c>
      <c r="D20" s="6" t="s">
        <v>33</v>
      </c>
    </row>
    <row r="21" spans="1:7" ht="15" thickBot="1" x14ac:dyDescent="0.35">
      <c r="A21" s="11" t="s">
        <v>26</v>
      </c>
      <c r="B21" s="45">
        <v>0.13869999999999999</v>
      </c>
      <c r="C21" s="4" t="s">
        <v>34</v>
      </c>
      <c r="D21" s="6" t="s">
        <v>35</v>
      </c>
    </row>
    <row r="22" spans="1:7" ht="15" thickBot="1" x14ac:dyDescent="0.35">
      <c r="A22" s="11" t="s">
        <v>29</v>
      </c>
      <c r="B22" s="45">
        <v>0.1353</v>
      </c>
      <c r="C22" s="4" t="s">
        <v>34</v>
      </c>
      <c r="D22" s="6" t="s">
        <v>36</v>
      </c>
      <c r="G22" s="6"/>
    </row>
    <row r="23" spans="1:7" ht="15" thickBot="1" x14ac:dyDescent="0.35">
      <c r="A23" s="11" t="s">
        <v>37</v>
      </c>
      <c r="B23" s="45">
        <v>-635.19000000000005</v>
      </c>
      <c r="C23" s="4" t="s">
        <v>38</v>
      </c>
      <c r="D23" s="6" t="s">
        <v>39</v>
      </c>
    </row>
    <row r="24" spans="1:7" ht="15" thickBot="1" x14ac:dyDescent="0.35">
      <c r="A24" s="8" t="s">
        <v>40</v>
      </c>
      <c r="B24" s="45">
        <v>1.45</v>
      </c>
      <c r="C24" s="4" t="s">
        <v>27</v>
      </c>
      <c r="D24" s="6" t="s">
        <v>41</v>
      </c>
    </row>
    <row r="25" spans="1:7" ht="15" thickBot="1" x14ac:dyDescent="0.35">
      <c r="A25" s="9" t="s">
        <v>42</v>
      </c>
      <c r="B25" s="45">
        <v>181.11</v>
      </c>
      <c r="C25" s="4" t="s">
        <v>38</v>
      </c>
      <c r="D25" s="6" t="s">
        <v>41</v>
      </c>
    </row>
    <row r="26" spans="1:7" ht="15" thickBot="1" x14ac:dyDescent="0.35">
      <c r="A26" s="8" t="s">
        <v>43</v>
      </c>
      <c r="B26" s="45">
        <v>1708</v>
      </c>
      <c r="C26" s="4" t="s">
        <v>44</v>
      </c>
      <c r="D26" s="6" t="s">
        <v>41</v>
      </c>
    </row>
    <row r="27" spans="1:7" ht="15" thickBot="1" x14ac:dyDescent="0.35">
      <c r="A27" s="8" t="s">
        <v>45</v>
      </c>
      <c r="B27" s="45">
        <v>0.437</v>
      </c>
      <c r="C27" s="4" t="s">
        <v>46</v>
      </c>
      <c r="D27" s="6" t="s">
        <v>41</v>
      </c>
    </row>
    <row r="28" spans="1:7" ht="15" thickBot="1" x14ac:dyDescent="0.35">
      <c r="A28" s="10" t="s">
        <v>47</v>
      </c>
      <c r="B28" s="45">
        <v>2.08</v>
      </c>
      <c r="C28" s="4" t="s">
        <v>48</v>
      </c>
      <c r="D28" s="6" t="s">
        <v>49</v>
      </c>
    </row>
    <row r="29" spans="1:7" ht="15" thickBot="1" x14ac:dyDescent="0.35">
      <c r="A29" s="10" t="s">
        <v>50</v>
      </c>
      <c r="B29" s="45">
        <v>36.344000000000001</v>
      </c>
      <c r="C29" s="4" t="s">
        <v>48</v>
      </c>
      <c r="D29" s="6" t="s">
        <v>51</v>
      </c>
    </row>
    <row r="30" spans="1:7" ht="15" thickBot="1" x14ac:dyDescent="0.35">
      <c r="A30" s="10" t="s">
        <v>52</v>
      </c>
      <c r="B30" s="45">
        <v>6.45</v>
      </c>
      <c r="C30" s="4" t="s">
        <v>53</v>
      </c>
      <c r="D30" s="6" t="s">
        <v>54</v>
      </c>
    </row>
    <row r="31" spans="1:7" ht="15" thickBot="1" x14ac:dyDescent="0.35">
      <c r="A31" s="38" t="s">
        <v>55</v>
      </c>
      <c r="B31" s="47">
        <v>489574</v>
      </c>
      <c r="C31" s="4" t="s">
        <v>44</v>
      </c>
      <c r="D31" s="6" t="s">
        <v>56</v>
      </c>
    </row>
    <row r="32" spans="1:7" ht="15" thickBot="1" x14ac:dyDescent="0.35">
      <c r="A32" s="38" t="s">
        <v>57</v>
      </c>
      <c r="B32" s="47">
        <f>16769.6</f>
        <v>16769.599999999999</v>
      </c>
      <c r="C32" s="4" t="s">
        <v>58</v>
      </c>
      <c r="D32" s="6" t="s">
        <v>56</v>
      </c>
    </row>
    <row r="33" spans="1:17" ht="15" thickBot="1" x14ac:dyDescent="0.35">
      <c r="A33" s="38" t="s">
        <v>59</v>
      </c>
      <c r="B33" s="45">
        <f>18*3*8*12</f>
        <v>5184</v>
      </c>
      <c r="C33" s="4" t="s">
        <v>44</v>
      </c>
      <c r="D33" s="6" t="s">
        <v>60</v>
      </c>
      <c r="Q33" s="3"/>
    </row>
    <row r="34" spans="1:17" ht="15" thickBot="1" x14ac:dyDescent="0.35">
      <c r="A34" s="38" t="s">
        <v>61</v>
      </c>
      <c r="B34" s="46">
        <v>0.55000000000000004</v>
      </c>
      <c r="C34" s="4" t="s">
        <v>62</v>
      </c>
      <c r="D34" s="6" t="s">
        <v>63</v>
      </c>
    </row>
    <row r="35" spans="1:17" ht="15" thickBot="1" x14ac:dyDescent="0.35">
      <c r="A35" s="38" t="s">
        <v>64</v>
      </c>
      <c r="B35" s="47">
        <f>138000</f>
        <v>138000</v>
      </c>
      <c r="C35" s="4" t="s">
        <v>24</v>
      </c>
      <c r="D35" s="6" t="s">
        <v>65</v>
      </c>
    </row>
    <row r="36" spans="1:17" ht="15" thickBot="1" x14ac:dyDescent="0.35">
      <c r="A36" s="38" t="s">
        <v>66</v>
      </c>
      <c r="B36" s="45">
        <v>20</v>
      </c>
      <c r="C36" s="4" t="s">
        <v>67</v>
      </c>
    </row>
    <row r="37" spans="1:17" ht="15" thickBot="1" x14ac:dyDescent="0.35">
      <c r="A37" s="38" t="s">
        <v>68</v>
      </c>
      <c r="B37" s="45">
        <v>0</v>
      </c>
      <c r="C37" s="4" t="s">
        <v>69</v>
      </c>
    </row>
    <row r="38" spans="1:17" ht="15" thickBot="1" x14ac:dyDescent="0.35">
      <c r="A38" s="42" t="s">
        <v>70</v>
      </c>
      <c r="B38" s="45">
        <v>8472</v>
      </c>
      <c r="C38" s="4" t="s">
        <v>71</v>
      </c>
      <c r="D38" s="6" t="s">
        <v>72</v>
      </c>
    </row>
    <row r="39" spans="1:17" x14ac:dyDescent="0.3">
      <c r="A39" s="42" t="s">
        <v>73</v>
      </c>
      <c r="B39" s="47">
        <v>3000000</v>
      </c>
      <c r="C39" s="4" t="s">
        <v>74</v>
      </c>
      <c r="D39" s="6" t="s">
        <v>56</v>
      </c>
      <c r="I39" s="45">
        <f>3*(10^6)</f>
        <v>3000000</v>
      </c>
      <c r="J39" t="s">
        <v>149</v>
      </c>
    </row>
    <row r="40" spans="1:17" ht="15" thickBot="1" x14ac:dyDescent="0.35">
      <c r="B40" s="47"/>
    </row>
    <row r="41" spans="1:17" ht="16.2" thickBot="1" x14ac:dyDescent="0.4">
      <c r="A41" s="52" t="s">
        <v>124</v>
      </c>
      <c r="B41" s="46">
        <f>78.67/1000</f>
        <v>7.8670000000000004E-2</v>
      </c>
      <c r="C41" s="4" t="s">
        <v>48</v>
      </c>
      <c r="D41" s="6" t="s">
        <v>125</v>
      </c>
      <c r="J41" s="6"/>
    </row>
    <row r="42" spans="1:17" ht="16.2" thickBot="1" x14ac:dyDescent="0.35">
      <c r="A42" s="53" t="s">
        <v>133</v>
      </c>
      <c r="B42" s="46">
        <v>0.24399999999999999</v>
      </c>
      <c r="C42" s="4" t="s">
        <v>123</v>
      </c>
      <c r="D42" s="6" t="s">
        <v>126</v>
      </c>
      <c r="I42" t="s">
        <v>127</v>
      </c>
      <c r="J42" s="6" t="s">
        <v>128</v>
      </c>
      <c r="N42" t="s">
        <v>129</v>
      </c>
      <c r="O42" s="6" t="s">
        <v>130</v>
      </c>
    </row>
    <row r="43" spans="1:17" ht="16.2" thickBot="1" x14ac:dyDescent="0.4">
      <c r="A43" s="54" t="s">
        <v>132</v>
      </c>
      <c r="B43" s="46">
        <f>B32*B38*B41*B42</f>
        <v>2727141.2173685762</v>
      </c>
      <c r="C43" s="4" t="s">
        <v>38</v>
      </c>
    </row>
    <row r="44" spans="1:17" ht="16.2" thickBot="1" x14ac:dyDescent="0.4">
      <c r="A44" s="54" t="s">
        <v>134</v>
      </c>
      <c r="B44" s="46">
        <f>B32*B38*B42/1000</f>
        <v>34665.5804928</v>
      </c>
      <c r="C44" s="4" t="s">
        <v>131</v>
      </c>
    </row>
    <row r="45" spans="1:17" ht="15" thickBot="1" x14ac:dyDescent="0.35">
      <c r="B45" s="47"/>
    </row>
    <row r="46" spans="1:17" ht="15" thickBot="1" x14ac:dyDescent="0.35">
      <c r="A46" s="43" t="s">
        <v>75</v>
      </c>
      <c r="B46" s="46">
        <v>0</v>
      </c>
      <c r="C46" s="4" t="s">
        <v>38</v>
      </c>
    </row>
    <row r="47" spans="1:17" ht="15" thickBot="1" x14ac:dyDescent="0.35">
      <c r="A47" s="43" t="s">
        <v>76</v>
      </c>
      <c r="B47" s="45">
        <f>$G$72</f>
        <v>2597807.6178260869</v>
      </c>
      <c r="C47" s="4" t="s">
        <v>38</v>
      </c>
    </row>
    <row r="48" spans="1:17" ht="15" thickBot="1" x14ac:dyDescent="0.35">
      <c r="A48" s="43" t="s">
        <v>77</v>
      </c>
      <c r="B48" s="56">
        <f>1254000+B35</f>
        <v>1392000</v>
      </c>
      <c r="C48" s="4" t="s">
        <v>38</v>
      </c>
    </row>
    <row r="49" spans="1:13" ht="15" thickBot="1" x14ac:dyDescent="0.35">
      <c r="A49" s="43" t="s">
        <v>78</v>
      </c>
      <c r="B49" s="45">
        <f>B47+B46</f>
        <v>2597807.6178260869</v>
      </c>
      <c r="C49" s="4" t="s">
        <v>38</v>
      </c>
    </row>
    <row r="50" spans="1:13" ht="15" thickBot="1" x14ac:dyDescent="0.35">
      <c r="A50" s="43" t="s">
        <v>79</v>
      </c>
      <c r="B50" s="56">
        <f>B35+B31</f>
        <v>627574</v>
      </c>
      <c r="C50" s="4" t="s">
        <v>38</v>
      </c>
    </row>
    <row r="51" spans="1:13" x14ac:dyDescent="0.3">
      <c r="A51" s="44" t="s">
        <v>80</v>
      </c>
      <c r="B51" s="45">
        <f>B48+B49</f>
        <v>3989807.6178260869</v>
      </c>
      <c r="C51" s="4" t="s">
        <v>38</v>
      </c>
    </row>
    <row r="52" spans="1:13" ht="15" thickBot="1" x14ac:dyDescent="0.35">
      <c r="B52" s="47"/>
    </row>
    <row r="53" spans="1:13" ht="15" thickBot="1" x14ac:dyDescent="0.35">
      <c r="A53" s="51" t="s">
        <v>81</v>
      </c>
      <c r="B53" s="45">
        <f>234*(10^8)</f>
        <v>23400000000</v>
      </c>
      <c r="C53" s="4" t="s">
        <v>82</v>
      </c>
      <c r="D53" s="6" t="s">
        <v>83</v>
      </c>
    </row>
    <row r="54" spans="1:13" ht="15" thickBot="1" x14ac:dyDescent="0.35">
      <c r="A54" s="51" t="s">
        <v>84</v>
      </c>
      <c r="B54" s="45">
        <f>28753000000</f>
        <v>28753000000</v>
      </c>
      <c r="C54" s="4" t="s">
        <v>69</v>
      </c>
      <c r="D54" s="6" t="s">
        <v>83</v>
      </c>
      <c r="M54" s="47"/>
    </row>
    <row r="55" spans="1:13" ht="15" thickBot="1" x14ac:dyDescent="0.35">
      <c r="A55" s="51" t="s">
        <v>85</v>
      </c>
      <c r="B55" s="45">
        <f>B54/B53</f>
        <v>1.2287606837606837</v>
      </c>
      <c r="C55" s="4" t="s">
        <v>86</v>
      </c>
    </row>
    <row r="56" spans="1:13" ht="15" thickBot="1" x14ac:dyDescent="0.35">
      <c r="A56" s="51" t="s">
        <v>87</v>
      </c>
      <c r="B56" s="45">
        <f>B39*B58</f>
        <v>2340000</v>
      </c>
      <c r="C56" s="4" t="s">
        <v>82</v>
      </c>
      <c r="D56" s="6" t="s">
        <v>88</v>
      </c>
    </row>
    <row r="57" spans="1:13" ht="15" thickBot="1" x14ac:dyDescent="0.35">
      <c r="A57" s="51" t="s">
        <v>89</v>
      </c>
      <c r="B57" s="45">
        <f>B56*B55</f>
        <v>2875300</v>
      </c>
      <c r="C57" s="4" t="s">
        <v>69</v>
      </c>
    </row>
    <row r="58" spans="1:13" x14ac:dyDescent="0.3">
      <c r="A58" s="51" t="s">
        <v>90</v>
      </c>
      <c r="B58" s="45">
        <v>0.78</v>
      </c>
      <c r="C58" s="4"/>
      <c r="D58" s="6" t="s">
        <v>91</v>
      </c>
    </row>
    <row r="59" spans="1:13" x14ac:dyDescent="0.3">
      <c r="B59" s="47"/>
    </row>
    <row r="60" spans="1:13" x14ac:dyDescent="0.3">
      <c r="A60" s="39" t="s">
        <v>92</v>
      </c>
      <c r="B60" s="48">
        <v>0.25800000000000001</v>
      </c>
      <c r="C60" s="39"/>
      <c r="D60" s="6" t="s">
        <v>93</v>
      </c>
    </row>
    <row r="61" spans="1:13" x14ac:dyDescent="0.3">
      <c r="A61" s="39" t="s">
        <v>94</v>
      </c>
      <c r="B61" s="48">
        <v>0.19</v>
      </c>
      <c r="C61" s="39"/>
      <c r="D61" s="6" t="s">
        <v>93</v>
      </c>
    </row>
    <row r="62" spans="1:13" x14ac:dyDescent="0.3">
      <c r="A62" s="39" t="s">
        <v>95</v>
      </c>
      <c r="B62" s="39"/>
      <c r="C62" s="39" t="s">
        <v>96</v>
      </c>
    </row>
    <row r="63" spans="1:13" x14ac:dyDescent="0.3">
      <c r="A63" s="39" t="s">
        <v>97</v>
      </c>
      <c r="B63" s="40">
        <f>B12+B13*B14</f>
        <v>6.7604589371980786E-2</v>
      </c>
      <c r="C63" s="39">
        <v>6.7599999999999993E-2</v>
      </c>
    </row>
    <row r="64" spans="1:13" x14ac:dyDescent="0.3">
      <c r="I64" s="41" t="s">
        <v>4</v>
      </c>
    </row>
    <row r="65" spans="1:30" x14ac:dyDescent="0.3">
      <c r="A65" s="25" t="s">
        <v>98</v>
      </c>
      <c r="B65" s="25"/>
      <c r="C65" s="49" t="s">
        <v>99</v>
      </c>
      <c r="D65" s="50"/>
      <c r="E65" s="35" t="s">
        <v>100</v>
      </c>
      <c r="F65" s="22" t="s">
        <v>101</v>
      </c>
      <c r="G65" s="22" t="s">
        <v>102</v>
      </c>
      <c r="H65" s="22"/>
      <c r="I65" s="6" t="s">
        <v>103</v>
      </c>
    </row>
    <row r="66" spans="1:30" x14ac:dyDescent="0.3">
      <c r="A66" s="17" t="s">
        <v>104</v>
      </c>
      <c r="B66" s="17">
        <v>1</v>
      </c>
      <c r="C66" s="36" t="s">
        <v>105</v>
      </c>
      <c r="D66" s="37" t="s">
        <v>106</v>
      </c>
      <c r="E66" s="34"/>
      <c r="F66" s="24" t="s">
        <v>107</v>
      </c>
      <c r="G66" s="24" t="s">
        <v>108</v>
      </c>
      <c r="H66" s="22" t="s">
        <v>109</v>
      </c>
    </row>
    <row r="67" spans="1:30" x14ac:dyDescent="0.3">
      <c r="A67" s="17" t="s">
        <v>110</v>
      </c>
      <c r="B67" s="18">
        <f xml:space="preserve"> B66 * 1.004974775</f>
        <v>1.004974775</v>
      </c>
      <c r="C67" s="27" t="s">
        <v>111</v>
      </c>
      <c r="D67" s="32">
        <f xml:space="preserve"> 0.95</f>
        <v>0.95</v>
      </c>
      <c r="E67" s="26">
        <f>(B24 /1000)</f>
        <v>1.4499999999999999E-3</v>
      </c>
      <c r="F67" s="15">
        <f>$B$70 *D67</f>
        <v>2223000</v>
      </c>
      <c r="G67" s="15">
        <f>F67* (E67)</f>
        <v>3223.35</v>
      </c>
      <c r="H67" s="14" t="s">
        <v>112</v>
      </c>
    </row>
    <row r="68" spans="1:30" x14ac:dyDescent="0.3">
      <c r="A68" s="20"/>
      <c r="B68" s="20"/>
      <c r="C68" s="27" t="s">
        <v>113</v>
      </c>
      <c r="D68" s="32">
        <v>0.2</v>
      </c>
      <c r="E68" s="28">
        <f>B28</f>
        <v>2.08</v>
      </c>
      <c r="F68" s="15">
        <f>$B$70 *D68</f>
        <v>468000</v>
      </c>
      <c r="G68" s="14">
        <f>F68*E68</f>
        <v>973440</v>
      </c>
      <c r="H68" s="14" t="s">
        <v>112</v>
      </c>
    </row>
    <row r="69" spans="1:30" x14ac:dyDescent="0.3">
      <c r="A69" s="25" t="s">
        <v>114</v>
      </c>
      <c r="B69" s="25"/>
      <c r="C69" s="27" t="s">
        <v>115</v>
      </c>
      <c r="D69" s="32">
        <v>2E-3</v>
      </c>
      <c r="E69" s="28">
        <f>(B29)</f>
        <v>36.344000000000001</v>
      </c>
      <c r="F69" s="15">
        <f>$B$70 *D69</f>
        <v>4680</v>
      </c>
      <c r="G69" s="14">
        <f>F69*E69</f>
        <v>170089.92</v>
      </c>
      <c r="H69" s="14" t="s">
        <v>112</v>
      </c>
    </row>
    <row r="70" spans="1:30" x14ac:dyDescent="0.3">
      <c r="A70" s="17" t="s">
        <v>116</v>
      </c>
      <c r="B70" s="19">
        <f>B56</f>
        <v>2340000</v>
      </c>
      <c r="C70" s="27" t="s">
        <v>117</v>
      </c>
      <c r="D70" s="32">
        <v>5.0000000000000001E-4</v>
      </c>
      <c r="E70" s="29">
        <f>(B30 * (1000/11.5))</f>
        <v>560.86956521739137</v>
      </c>
      <c r="F70" s="15">
        <f>($B$70 *D70) /4</f>
        <v>292.5</v>
      </c>
      <c r="G70" s="15">
        <f>(F70* E70)</f>
        <v>164054.34782608697</v>
      </c>
      <c r="H70" s="14" t="s">
        <v>112</v>
      </c>
    </row>
    <row r="71" spans="1:30" x14ac:dyDescent="0.3">
      <c r="A71" s="17" t="s">
        <v>118</v>
      </c>
      <c r="B71" s="18">
        <f xml:space="preserve"> B70 * B67</f>
        <v>2351640.9734999998</v>
      </c>
      <c r="C71" s="30" t="s">
        <v>119</v>
      </c>
      <c r="D71" s="33">
        <v>0.55000000000000004</v>
      </c>
      <c r="E71" s="31" t="s">
        <v>120</v>
      </c>
      <c r="F71" s="16" t="s">
        <v>120</v>
      </c>
      <c r="G71" s="14">
        <f>D71*B70</f>
        <v>1287000</v>
      </c>
      <c r="H71" s="14" t="s">
        <v>112</v>
      </c>
    </row>
    <row r="72" spans="1:30" x14ac:dyDescent="0.3">
      <c r="A72" s="21"/>
      <c r="B72" s="21"/>
      <c r="C72" s="21"/>
      <c r="F72" s="22" t="s">
        <v>121</v>
      </c>
      <c r="G72" s="23">
        <f>SUM(G67:G71)</f>
        <v>2597807.6178260869</v>
      </c>
      <c r="H72" s="24" t="s">
        <v>112</v>
      </c>
    </row>
    <row r="73" spans="1:30" x14ac:dyDescent="0.3">
      <c r="F73" t="s">
        <v>122</v>
      </c>
      <c r="G73" s="3">
        <f>SUM(G67:G70)</f>
        <v>1310807.6178260869</v>
      </c>
    </row>
    <row r="75" spans="1:30" s="57" customFormat="1" x14ac:dyDescent="0.3"/>
    <row r="77" spans="1:30" x14ac:dyDescent="0.3">
      <c r="A77" s="55" t="s">
        <v>150</v>
      </c>
    </row>
    <row r="78" spans="1:30" x14ac:dyDescent="0.3">
      <c r="A78" t="s">
        <v>152</v>
      </c>
    </row>
    <row r="79" spans="1:30" x14ac:dyDescent="0.3">
      <c r="J79">
        <v>0</v>
      </c>
      <c r="K79">
        <v>1</v>
      </c>
      <c r="L79">
        <v>2</v>
      </c>
      <c r="M79">
        <v>3</v>
      </c>
      <c r="N79">
        <v>4</v>
      </c>
      <c r="O79">
        <v>5</v>
      </c>
      <c r="P79">
        <v>6</v>
      </c>
      <c r="Q79">
        <v>7</v>
      </c>
      <c r="R79">
        <v>8</v>
      </c>
      <c r="S79">
        <v>9</v>
      </c>
      <c r="T79">
        <v>10</v>
      </c>
      <c r="U79">
        <v>11</v>
      </c>
      <c r="V79">
        <v>12</v>
      </c>
      <c r="W79">
        <v>13</v>
      </c>
      <c r="X79">
        <v>14</v>
      </c>
      <c r="Y79">
        <v>15</v>
      </c>
      <c r="Z79">
        <v>16</v>
      </c>
      <c r="AA79">
        <v>17</v>
      </c>
      <c r="AB79">
        <v>18</v>
      </c>
      <c r="AC79">
        <v>19</v>
      </c>
      <c r="AD79">
        <v>20</v>
      </c>
    </row>
    <row r="81" spans="1:30" x14ac:dyDescent="0.3">
      <c r="I81" s="1" t="s">
        <v>0</v>
      </c>
      <c r="J81" s="13">
        <f>-B126</f>
        <v>-730961</v>
      </c>
      <c r="K81" s="13">
        <f t="shared" ref="K81:AD81" si="7">-$B$124</f>
        <v>-1132500</v>
      </c>
      <c r="L81" s="13">
        <f t="shared" si="7"/>
        <v>-1132500</v>
      </c>
      <c r="M81" s="13">
        <f t="shared" si="7"/>
        <v>-1132500</v>
      </c>
      <c r="N81" s="13">
        <f t="shared" si="7"/>
        <v>-1132500</v>
      </c>
      <c r="O81" s="13">
        <f t="shared" si="7"/>
        <v>-1132500</v>
      </c>
      <c r="P81" s="13">
        <f t="shared" si="7"/>
        <v>-1132500</v>
      </c>
      <c r="Q81" s="13">
        <f t="shared" si="7"/>
        <v>-1132500</v>
      </c>
      <c r="R81" s="13">
        <f t="shared" si="7"/>
        <v>-1132500</v>
      </c>
      <c r="S81" s="13">
        <f t="shared" si="7"/>
        <v>-1132500</v>
      </c>
      <c r="T81" s="13">
        <f t="shared" si="7"/>
        <v>-1132500</v>
      </c>
      <c r="U81" s="13">
        <f t="shared" si="7"/>
        <v>-1132500</v>
      </c>
      <c r="V81" s="13">
        <f t="shared" si="7"/>
        <v>-1132500</v>
      </c>
      <c r="W81" s="13">
        <f t="shared" si="7"/>
        <v>-1132500</v>
      </c>
      <c r="X81" s="13">
        <f t="shared" si="7"/>
        <v>-1132500</v>
      </c>
      <c r="Y81" s="13">
        <f t="shared" si="7"/>
        <v>-1132500</v>
      </c>
      <c r="Z81" s="13">
        <f t="shared" si="7"/>
        <v>-1132500</v>
      </c>
      <c r="AA81" s="13">
        <f t="shared" si="7"/>
        <v>-1132500</v>
      </c>
      <c r="AB81" s="13">
        <f t="shared" si="7"/>
        <v>-1132500</v>
      </c>
      <c r="AC81" s="13">
        <f t="shared" si="7"/>
        <v>-1132500</v>
      </c>
      <c r="AD81" s="13">
        <f t="shared" si="7"/>
        <v>-1132500</v>
      </c>
    </row>
    <row r="82" spans="1:30" x14ac:dyDescent="0.3">
      <c r="C82" s="41" t="s">
        <v>4</v>
      </c>
      <c r="I82" s="1" t="s">
        <v>1</v>
      </c>
      <c r="J82" s="13">
        <v>0</v>
      </c>
      <c r="K82" s="13">
        <f t="shared" ref="K82:AD82" si="8">-$B$125</f>
        <v>-2597807.6178260869</v>
      </c>
      <c r="L82" s="13">
        <f t="shared" si="8"/>
        <v>-2597807.6178260869</v>
      </c>
      <c r="M82" s="13">
        <f t="shared" si="8"/>
        <v>-2597807.6178260869</v>
      </c>
      <c r="N82" s="13">
        <f t="shared" si="8"/>
        <v>-2597807.6178260869</v>
      </c>
      <c r="O82" s="13">
        <f t="shared" si="8"/>
        <v>-2597807.6178260869</v>
      </c>
      <c r="P82" s="13">
        <f t="shared" si="8"/>
        <v>-2597807.6178260869</v>
      </c>
      <c r="Q82" s="13">
        <f t="shared" si="8"/>
        <v>-2597807.6178260869</v>
      </c>
      <c r="R82" s="13">
        <f t="shared" si="8"/>
        <v>-2597807.6178260869</v>
      </c>
      <c r="S82" s="13">
        <f t="shared" si="8"/>
        <v>-2597807.6178260869</v>
      </c>
      <c r="T82" s="13">
        <f t="shared" si="8"/>
        <v>-2597807.6178260869</v>
      </c>
      <c r="U82" s="13">
        <f t="shared" si="8"/>
        <v>-2597807.6178260869</v>
      </c>
      <c r="V82" s="13">
        <f t="shared" si="8"/>
        <v>-2597807.6178260869</v>
      </c>
      <c r="W82" s="13">
        <f t="shared" si="8"/>
        <v>-2597807.6178260869</v>
      </c>
      <c r="X82" s="13">
        <f t="shared" si="8"/>
        <v>-2597807.6178260869</v>
      </c>
      <c r="Y82" s="13">
        <f t="shared" si="8"/>
        <v>-2597807.6178260869</v>
      </c>
      <c r="Z82" s="13">
        <f t="shared" si="8"/>
        <v>-2597807.6178260869</v>
      </c>
      <c r="AA82" s="13">
        <f t="shared" si="8"/>
        <v>-2597807.6178260869</v>
      </c>
      <c r="AB82" s="13">
        <f t="shared" si="8"/>
        <v>-2597807.6178260869</v>
      </c>
      <c r="AC82" s="13">
        <f t="shared" si="8"/>
        <v>-2597807.6178260869</v>
      </c>
      <c r="AD82" s="13">
        <f t="shared" si="8"/>
        <v>-2597807.6178260869</v>
      </c>
    </row>
    <row r="83" spans="1:30" x14ac:dyDescent="0.3">
      <c r="A83" t="s">
        <v>6</v>
      </c>
      <c r="B83" s="5">
        <v>3.5000000000000003E-2</v>
      </c>
      <c r="C83" s="6" t="s">
        <v>7</v>
      </c>
      <c r="I83" s="2" t="s">
        <v>2</v>
      </c>
      <c r="J83" s="13">
        <v>0</v>
      </c>
      <c r="K83" s="13">
        <f>$B$133</f>
        <v>2875300</v>
      </c>
      <c r="L83" s="13">
        <f t="shared" ref="L83:AD83" si="9">$B$57</f>
        <v>2875300</v>
      </c>
      <c r="M83" s="13">
        <f t="shared" si="9"/>
        <v>2875300</v>
      </c>
      <c r="N83" s="13">
        <f t="shared" si="9"/>
        <v>2875300</v>
      </c>
      <c r="O83" s="13">
        <f t="shared" si="9"/>
        <v>2875300</v>
      </c>
      <c r="P83" s="13">
        <f t="shared" si="9"/>
        <v>2875300</v>
      </c>
      <c r="Q83" s="13">
        <f t="shared" si="9"/>
        <v>2875300</v>
      </c>
      <c r="R83" s="13">
        <f t="shared" si="9"/>
        <v>2875300</v>
      </c>
      <c r="S83" s="13">
        <f t="shared" si="9"/>
        <v>2875300</v>
      </c>
      <c r="T83" s="13">
        <f t="shared" si="9"/>
        <v>2875300</v>
      </c>
      <c r="U83" s="13">
        <f t="shared" si="9"/>
        <v>2875300</v>
      </c>
      <c r="V83" s="13">
        <f t="shared" si="9"/>
        <v>2875300</v>
      </c>
      <c r="W83" s="13">
        <f t="shared" si="9"/>
        <v>2875300</v>
      </c>
      <c r="X83" s="13">
        <f t="shared" si="9"/>
        <v>2875300</v>
      </c>
      <c r="Y83" s="13">
        <f t="shared" si="9"/>
        <v>2875300</v>
      </c>
      <c r="Z83" s="13">
        <f t="shared" si="9"/>
        <v>2875300</v>
      </c>
      <c r="AA83" s="13">
        <f t="shared" si="9"/>
        <v>2875300</v>
      </c>
      <c r="AB83" s="13">
        <f t="shared" si="9"/>
        <v>2875300</v>
      </c>
      <c r="AC83" s="13">
        <f t="shared" si="9"/>
        <v>2875300</v>
      </c>
      <c r="AD83" s="13">
        <f t="shared" si="9"/>
        <v>2875300</v>
      </c>
    </row>
    <row r="84" spans="1:30" x14ac:dyDescent="0.3">
      <c r="A84" t="s">
        <v>9</v>
      </c>
      <c r="B84" s="12">
        <v>0.06</v>
      </c>
      <c r="C84" s="6" t="s">
        <v>10</v>
      </c>
      <c r="I84" s="2" t="s">
        <v>3</v>
      </c>
      <c r="J84" s="13">
        <f t="shared" ref="J84:AC84" si="10">SUM(J81:J83)</f>
        <v>-730961</v>
      </c>
      <c r="K84" s="13">
        <f t="shared" si="10"/>
        <v>-855007.61782608693</v>
      </c>
      <c r="L84" s="13">
        <f t="shared" si="10"/>
        <v>-855007.61782608693</v>
      </c>
      <c r="M84" s="13">
        <f t="shared" si="10"/>
        <v>-855007.61782608693</v>
      </c>
      <c r="N84" s="13">
        <f t="shared" si="10"/>
        <v>-855007.61782608693</v>
      </c>
      <c r="O84" s="13">
        <f t="shared" si="10"/>
        <v>-855007.61782608693</v>
      </c>
      <c r="P84" s="13">
        <f t="shared" si="10"/>
        <v>-855007.61782608693</v>
      </c>
      <c r="Q84" s="13">
        <f t="shared" si="10"/>
        <v>-855007.61782608693</v>
      </c>
      <c r="R84" s="13">
        <f t="shared" si="10"/>
        <v>-855007.61782608693</v>
      </c>
      <c r="S84" s="13">
        <f t="shared" si="10"/>
        <v>-855007.61782608693</v>
      </c>
      <c r="T84" s="13">
        <f t="shared" si="10"/>
        <v>-855007.61782608693</v>
      </c>
      <c r="U84" s="13">
        <f t="shared" si="10"/>
        <v>-855007.61782608693</v>
      </c>
      <c r="V84" s="13">
        <f t="shared" si="10"/>
        <v>-855007.61782608693</v>
      </c>
      <c r="W84" s="13">
        <f t="shared" si="10"/>
        <v>-855007.61782608693</v>
      </c>
      <c r="X84" s="13">
        <f t="shared" si="10"/>
        <v>-855007.61782608693</v>
      </c>
      <c r="Y84" s="13">
        <f t="shared" si="10"/>
        <v>-855007.61782608693</v>
      </c>
      <c r="Z84" s="13">
        <f t="shared" si="10"/>
        <v>-855007.61782608693</v>
      </c>
      <c r="AA84" s="13">
        <f t="shared" si="10"/>
        <v>-855007.61782608693</v>
      </c>
      <c r="AB84" s="13">
        <f t="shared" si="10"/>
        <v>-855007.61782608693</v>
      </c>
      <c r="AC84" s="13">
        <f t="shared" si="10"/>
        <v>-855007.61782608693</v>
      </c>
      <c r="AD84" s="13">
        <f t="shared" ref="AD84" si="11">SUM(AD81:AD83)</f>
        <v>-855007.61782608693</v>
      </c>
    </row>
    <row r="85" spans="1:30" x14ac:dyDescent="0.3">
      <c r="A85" t="s">
        <v>12</v>
      </c>
      <c r="B85" s="5">
        <f>((1+B84)/(1+B83))-1</f>
        <v>2.4154589371980784E-2</v>
      </c>
      <c r="C85" s="6"/>
      <c r="I85" s="2" t="s">
        <v>5</v>
      </c>
      <c r="J85" s="13">
        <f>SUM(J82:J84)</f>
        <v>-730961</v>
      </c>
      <c r="K85" s="13">
        <f t="shared" ref="K85:AD85" si="12">(1-$B$60)*K84</f>
        <v>-634415.65242695645</v>
      </c>
      <c r="L85" s="13">
        <f t="shared" si="12"/>
        <v>-634415.65242695645</v>
      </c>
      <c r="M85" s="13">
        <f t="shared" si="12"/>
        <v>-634415.65242695645</v>
      </c>
      <c r="N85" s="13">
        <f t="shared" si="12"/>
        <v>-634415.65242695645</v>
      </c>
      <c r="O85" s="13">
        <f t="shared" si="12"/>
        <v>-634415.65242695645</v>
      </c>
      <c r="P85" s="13">
        <f t="shared" si="12"/>
        <v>-634415.65242695645</v>
      </c>
      <c r="Q85" s="13">
        <f t="shared" si="12"/>
        <v>-634415.65242695645</v>
      </c>
      <c r="R85" s="13">
        <f t="shared" si="12"/>
        <v>-634415.65242695645</v>
      </c>
      <c r="S85" s="13">
        <f t="shared" si="12"/>
        <v>-634415.65242695645</v>
      </c>
      <c r="T85" s="13">
        <f t="shared" si="12"/>
        <v>-634415.65242695645</v>
      </c>
      <c r="U85" s="13">
        <f t="shared" si="12"/>
        <v>-634415.65242695645</v>
      </c>
      <c r="V85" s="13">
        <f t="shared" si="12"/>
        <v>-634415.65242695645</v>
      </c>
      <c r="W85" s="13">
        <f t="shared" si="12"/>
        <v>-634415.65242695645</v>
      </c>
      <c r="X85" s="13">
        <f t="shared" si="12"/>
        <v>-634415.65242695645</v>
      </c>
      <c r="Y85" s="13">
        <f t="shared" si="12"/>
        <v>-634415.65242695645</v>
      </c>
      <c r="Z85" s="13">
        <f t="shared" si="12"/>
        <v>-634415.65242695645</v>
      </c>
      <c r="AA85" s="13">
        <f t="shared" si="12"/>
        <v>-634415.65242695645</v>
      </c>
      <c r="AB85" s="13">
        <f t="shared" si="12"/>
        <v>-634415.65242695645</v>
      </c>
      <c r="AC85" s="13">
        <f t="shared" si="12"/>
        <v>-634415.65242695645</v>
      </c>
      <c r="AD85" s="13">
        <f t="shared" si="12"/>
        <v>-634415.65242695645</v>
      </c>
    </row>
    <row r="86" spans="1:30" x14ac:dyDescent="0.3">
      <c r="A86" t="s">
        <v>14</v>
      </c>
      <c r="B86">
        <v>0.79</v>
      </c>
      <c r="C86" s="6" t="s">
        <v>15</v>
      </c>
      <c r="I86" t="s">
        <v>8</v>
      </c>
      <c r="J86" s="13">
        <f>J85</f>
        <v>-730961</v>
      </c>
      <c r="K86" s="13">
        <f t="shared" ref="K86:AD86" si="13">PV($B$63,K79,,-K85)</f>
        <v>-594242.15551579068</v>
      </c>
      <c r="L86" s="13">
        <f t="shared" si="13"/>
        <v>-556612.58993402612</v>
      </c>
      <c r="M86" s="13">
        <f t="shared" si="13"/>
        <v>-521365.86473598238</v>
      </c>
      <c r="N86" s="13">
        <f t="shared" si="13"/>
        <v>-488351.08983811719</v>
      </c>
      <c r="O86" s="13">
        <f t="shared" si="13"/>
        <v>-457426.93006348924</v>
      </c>
      <c r="P86" s="13">
        <f t="shared" si="13"/>
        <v>-428461.00009046512</v>
      </c>
      <c r="Q86" s="13">
        <f t="shared" si="13"/>
        <v>-401329.29771546565</v>
      </c>
      <c r="R86" s="13">
        <f t="shared" si="13"/>
        <v>-375915.67300356767</v>
      </c>
      <c r="S86" s="13">
        <f t="shared" si="13"/>
        <v>-352111.33105441253</v>
      </c>
      <c r="T86" s="13">
        <f t="shared" si="13"/>
        <v>-329814.36625477817</v>
      </c>
      <c r="U86" s="13">
        <f t="shared" si="13"/>
        <v>-308929.3260239652</v>
      </c>
      <c r="V86" s="13">
        <f t="shared" si="13"/>
        <v>-289366.80218440533</v>
      </c>
      <c r="W86" s="13">
        <f t="shared" si="13"/>
        <v>-271043.04820816254</v>
      </c>
      <c r="X86" s="13">
        <f t="shared" si="13"/>
        <v>-253879.62070077256</v>
      </c>
      <c r="Y86" s="13">
        <f t="shared" si="13"/>
        <v>-237803.04358762398</v>
      </c>
      <c r="Z86" s="13">
        <f t="shared" si="13"/>
        <v>-222744.49356527385</v>
      </c>
      <c r="AA86" s="13">
        <f t="shared" si="13"/>
        <v>-208639.50547112527</v>
      </c>
      <c r="AB86" s="13">
        <f t="shared" si="13"/>
        <v>-195427.69631016444</v>
      </c>
      <c r="AC86" s="13">
        <f t="shared" si="13"/>
        <v>-183052.50675732383</v>
      </c>
      <c r="AD86" s="13">
        <f t="shared" si="13"/>
        <v>-171460.95902885226</v>
      </c>
    </row>
    <row r="87" spans="1:30" x14ac:dyDescent="0.3">
      <c r="A87" t="s">
        <v>17</v>
      </c>
      <c r="B87" s="5">
        <v>5.5E-2</v>
      </c>
      <c r="C87" s="6" t="s">
        <v>18</v>
      </c>
      <c r="I87" t="s">
        <v>11</v>
      </c>
      <c r="J87" s="13">
        <f>J86</f>
        <v>-730961</v>
      </c>
      <c r="K87" s="13">
        <f t="shared" ref="K87:AD87" si="14">K86+J87</f>
        <v>-1325203.1555157907</v>
      </c>
      <c r="L87" s="13">
        <f t="shared" si="14"/>
        <v>-1881815.7454498168</v>
      </c>
      <c r="M87" s="13">
        <f t="shared" si="14"/>
        <v>-2403181.6101857992</v>
      </c>
      <c r="N87" s="13">
        <f t="shared" si="14"/>
        <v>-2891532.7000239165</v>
      </c>
      <c r="O87" s="13">
        <f t="shared" si="14"/>
        <v>-3348959.6300874059</v>
      </c>
      <c r="P87" s="13">
        <f t="shared" si="14"/>
        <v>-3777420.6301778709</v>
      </c>
      <c r="Q87" s="13">
        <f t="shared" si="14"/>
        <v>-4178749.9278933364</v>
      </c>
      <c r="R87" s="13">
        <f t="shared" si="14"/>
        <v>-4554665.6008969042</v>
      </c>
      <c r="S87" s="13">
        <f t="shared" si="14"/>
        <v>-4906776.931951317</v>
      </c>
      <c r="T87" s="13">
        <f t="shared" si="14"/>
        <v>-5236591.2982060956</v>
      </c>
      <c r="U87" s="13">
        <f t="shared" si="14"/>
        <v>-5545520.6242300607</v>
      </c>
      <c r="V87" s="13">
        <f t="shared" si="14"/>
        <v>-5834887.4264144665</v>
      </c>
      <c r="W87" s="13">
        <f t="shared" si="14"/>
        <v>-6105930.4746226287</v>
      </c>
      <c r="X87" s="13">
        <f t="shared" si="14"/>
        <v>-6359810.0953234015</v>
      </c>
      <c r="Y87" s="13">
        <f t="shared" si="14"/>
        <v>-6597613.1389110256</v>
      </c>
      <c r="Z87" s="13">
        <f t="shared" si="14"/>
        <v>-6820357.6324762991</v>
      </c>
      <c r="AA87" s="13">
        <f t="shared" si="14"/>
        <v>-7028997.1379474243</v>
      </c>
      <c r="AB87" s="13">
        <f t="shared" si="14"/>
        <v>-7224424.8342575887</v>
      </c>
      <c r="AC87" s="13">
        <f t="shared" si="14"/>
        <v>-7407477.3410149124</v>
      </c>
      <c r="AD87" s="13">
        <f t="shared" si="14"/>
        <v>-7578938.3000437645</v>
      </c>
    </row>
    <row r="88" spans="1:30" x14ac:dyDescent="0.3">
      <c r="I88" t="s">
        <v>13</v>
      </c>
      <c r="J88" s="5" t="e">
        <f>IRR(J85:AD85)</f>
        <v>#NUM!</v>
      </c>
      <c r="K88" s="13"/>
      <c r="L88" s="13"/>
      <c r="M88" s="13"/>
      <c r="N88" s="13"/>
      <c r="O88" s="13"/>
      <c r="P88" s="13"/>
      <c r="Q88" s="13"/>
      <c r="R88" s="13"/>
      <c r="S88" s="13"/>
      <c r="T88" s="13"/>
      <c r="U88" s="13"/>
      <c r="V88" s="13"/>
      <c r="W88" s="13"/>
      <c r="X88" s="13"/>
      <c r="Y88" s="13"/>
      <c r="Z88" s="13"/>
      <c r="AA88" s="13"/>
      <c r="AB88" s="13"/>
      <c r="AC88" s="13"/>
      <c r="AD88" s="13"/>
    </row>
    <row r="89" spans="1:30" x14ac:dyDescent="0.3">
      <c r="I89" t="s">
        <v>16</v>
      </c>
      <c r="J89" s="13">
        <f>NPV(C139,(K85:AD85))+J85</f>
        <v>-7579185.1324713184</v>
      </c>
      <c r="K89" s="13"/>
      <c r="L89" s="13"/>
      <c r="M89" s="13"/>
      <c r="N89" s="13"/>
      <c r="O89" s="13"/>
      <c r="P89" s="13"/>
      <c r="Q89" s="13"/>
      <c r="R89" s="13"/>
      <c r="S89" s="13"/>
      <c r="T89" s="13"/>
      <c r="U89" s="13"/>
      <c r="V89" s="13"/>
      <c r="W89" s="13"/>
      <c r="X89" s="13"/>
      <c r="Y89" s="13"/>
      <c r="Z89" s="13"/>
      <c r="AA89" s="13"/>
      <c r="AB89" s="13"/>
      <c r="AC89" s="13"/>
      <c r="AD89" s="13"/>
    </row>
    <row r="90" spans="1:30" ht="15" thickBot="1" x14ac:dyDescent="0.35">
      <c r="A90" t="s">
        <v>19</v>
      </c>
      <c r="D90" s="41" t="s">
        <v>4</v>
      </c>
    </row>
    <row r="91" spans="1:30" ht="15" thickBot="1" x14ac:dyDescent="0.35">
      <c r="A91" s="7" t="s">
        <v>20</v>
      </c>
      <c r="B91" s="45">
        <v>268.37</v>
      </c>
      <c r="C91" s="4" t="s">
        <v>21</v>
      </c>
      <c r="D91" s="6" t="s">
        <v>22</v>
      </c>
    </row>
    <row r="92" spans="1:30" ht="15" thickBot="1" x14ac:dyDescent="0.35">
      <c r="A92" s="7" t="s">
        <v>23</v>
      </c>
      <c r="B92" s="45">
        <v>92.61</v>
      </c>
      <c r="C92" s="4" t="s">
        <v>24</v>
      </c>
      <c r="D92" s="6" t="s">
        <v>25</v>
      </c>
    </row>
    <row r="93" spans="1:30" ht="15" thickBot="1" x14ac:dyDescent="0.35">
      <c r="A93" s="7" t="s">
        <v>26</v>
      </c>
      <c r="B93" s="45">
        <v>0.57830000000000004</v>
      </c>
      <c r="C93" s="4" t="s">
        <v>27</v>
      </c>
      <c r="D93" s="6" t="s">
        <v>28</v>
      </c>
    </row>
    <row r="94" spans="1:30" ht="15" thickBot="1" x14ac:dyDescent="0.35">
      <c r="A94" s="7" t="s">
        <v>29</v>
      </c>
      <c r="B94" s="45">
        <v>0.7268</v>
      </c>
      <c r="C94" s="4" t="s">
        <v>27</v>
      </c>
      <c r="D94" s="6" t="s">
        <v>30</v>
      </c>
    </row>
    <row r="95" spans="1:30" ht="15" thickBot="1" x14ac:dyDescent="0.35">
      <c r="A95" s="11" t="s">
        <v>31</v>
      </c>
      <c r="B95" s="45">
        <v>476.87</v>
      </c>
      <c r="C95" s="4" t="s">
        <v>24</v>
      </c>
      <c r="D95" s="6" t="s">
        <v>32</v>
      </c>
    </row>
    <row r="96" spans="1:30" ht="15" thickBot="1" x14ac:dyDescent="0.35">
      <c r="A96" s="11" t="s">
        <v>23</v>
      </c>
      <c r="B96" s="45">
        <v>112.95</v>
      </c>
      <c r="C96" s="4" t="s">
        <v>24</v>
      </c>
      <c r="D96" s="6" t="s">
        <v>33</v>
      </c>
    </row>
    <row r="97" spans="1:17" ht="15" thickBot="1" x14ac:dyDescent="0.35">
      <c r="A97" s="11" t="s">
        <v>26</v>
      </c>
      <c r="B97" s="45">
        <v>0.13869999999999999</v>
      </c>
      <c r="C97" s="4" t="s">
        <v>34</v>
      </c>
      <c r="D97" s="6" t="s">
        <v>35</v>
      </c>
    </row>
    <row r="98" spans="1:17" ht="15" thickBot="1" x14ac:dyDescent="0.35">
      <c r="A98" s="11" t="s">
        <v>29</v>
      </c>
      <c r="B98" s="45">
        <v>0.1353</v>
      </c>
      <c r="C98" s="4" t="s">
        <v>34</v>
      </c>
      <c r="D98" s="6" t="s">
        <v>36</v>
      </c>
      <c r="G98" s="6"/>
    </row>
    <row r="99" spans="1:17" ht="15" thickBot="1" x14ac:dyDescent="0.35">
      <c r="A99" s="11" t="s">
        <v>37</v>
      </c>
      <c r="B99" s="45">
        <v>-635.19000000000005</v>
      </c>
      <c r="C99" s="4" t="s">
        <v>38</v>
      </c>
      <c r="D99" s="6" t="s">
        <v>39</v>
      </c>
    </row>
    <row r="100" spans="1:17" ht="15" thickBot="1" x14ac:dyDescent="0.35">
      <c r="A100" s="8" t="s">
        <v>40</v>
      </c>
      <c r="B100" s="45">
        <v>1.45</v>
      </c>
      <c r="C100" s="4" t="s">
        <v>27</v>
      </c>
      <c r="D100" s="6" t="s">
        <v>41</v>
      </c>
    </row>
    <row r="101" spans="1:17" ht="15" thickBot="1" x14ac:dyDescent="0.35">
      <c r="A101" s="9" t="s">
        <v>42</v>
      </c>
      <c r="B101" s="45">
        <v>181.11</v>
      </c>
      <c r="C101" s="4" t="s">
        <v>38</v>
      </c>
      <c r="D101" s="6" t="s">
        <v>41</v>
      </c>
    </row>
    <row r="102" spans="1:17" ht="15" thickBot="1" x14ac:dyDescent="0.35">
      <c r="A102" s="8" t="s">
        <v>43</v>
      </c>
      <c r="B102" s="45">
        <v>1708</v>
      </c>
      <c r="C102" s="4" t="s">
        <v>44</v>
      </c>
      <c r="D102" s="6" t="s">
        <v>41</v>
      </c>
    </row>
    <row r="103" spans="1:17" ht="15" thickBot="1" x14ac:dyDescent="0.35">
      <c r="A103" s="8" t="s">
        <v>45</v>
      </c>
      <c r="B103" s="45">
        <v>0.437</v>
      </c>
      <c r="C103" s="4" t="s">
        <v>46</v>
      </c>
      <c r="D103" s="6" t="s">
        <v>41</v>
      </c>
    </row>
    <row r="104" spans="1:17" ht="15" thickBot="1" x14ac:dyDescent="0.35">
      <c r="A104" s="10" t="s">
        <v>47</v>
      </c>
      <c r="B104" s="45">
        <v>2.08</v>
      </c>
      <c r="C104" s="4" t="s">
        <v>48</v>
      </c>
      <c r="D104" s="6" t="s">
        <v>49</v>
      </c>
    </row>
    <row r="105" spans="1:17" ht="15" thickBot="1" x14ac:dyDescent="0.35">
      <c r="A105" s="10" t="s">
        <v>50</v>
      </c>
      <c r="B105" s="45">
        <v>36.344000000000001</v>
      </c>
      <c r="C105" s="4" t="s">
        <v>48</v>
      </c>
      <c r="D105" s="6" t="s">
        <v>51</v>
      </c>
    </row>
    <row r="106" spans="1:17" ht="15" thickBot="1" x14ac:dyDescent="0.35">
      <c r="A106" s="10" t="s">
        <v>52</v>
      </c>
      <c r="B106" s="45">
        <v>6.45</v>
      </c>
      <c r="C106" s="4" t="s">
        <v>53</v>
      </c>
      <c r="D106" s="6" t="s">
        <v>54</v>
      </c>
    </row>
    <row r="107" spans="1:17" ht="15" thickBot="1" x14ac:dyDescent="0.35">
      <c r="A107" s="38" t="s">
        <v>55</v>
      </c>
      <c r="B107" s="47">
        <v>592961</v>
      </c>
      <c r="C107" s="4" t="s">
        <v>44</v>
      </c>
      <c r="D107" s="6" t="s">
        <v>56</v>
      </c>
    </row>
    <row r="108" spans="1:17" ht="15" thickBot="1" x14ac:dyDescent="0.35">
      <c r="A108" s="38" t="s">
        <v>57</v>
      </c>
      <c r="B108" s="47">
        <v>13012</v>
      </c>
      <c r="C108" s="4" t="s">
        <v>58</v>
      </c>
      <c r="D108" s="6" t="s">
        <v>56</v>
      </c>
    </row>
    <row r="109" spans="1:17" ht="15" thickBot="1" x14ac:dyDescent="0.35">
      <c r="A109" s="38" t="s">
        <v>59</v>
      </c>
      <c r="B109" s="45">
        <f>18*3*8*12</f>
        <v>5184</v>
      </c>
      <c r="C109" s="4" t="s">
        <v>44</v>
      </c>
      <c r="D109" s="6" t="s">
        <v>60</v>
      </c>
      <c r="Q109" s="3"/>
    </row>
    <row r="110" spans="1:17" ht="15" thickBot="1" x14ac:dyDescent="0.35">
      <c r="A110" s="38" t="s">
        <v>61</v>
      </c>
      <c r="B110" s="46">
        <v>0.55000000000000004</v>
      </c>
      <c r="C110" s="4" t="s">
        <v>62</v>
      </c>
      <c r="D110" s="6" t="s">
        <v>63</v>
      </c>
    </row>
    <row r="111" spans="1:17" ht="15" thickBot="1" x14ac:dyDescent="0.35">
      <c r="A111" s="38" t="s">
        <v>64</v>
      </c>
      <c r="B111" s="47">
        <v>138000</v>
      </c>
      <c r="C111" s="4" t="s">
        <v>24</v>
      </c>
      <c r="D111" s="6" t="s">
        <v>65</v>
      </c>
    </row>
    <row r="112" spans="1:17" ht="15" thickBot="1" x14ac:dyDescent="0.35">
      <c r="A112" s="38" t="s">
        <v>66</v>
      </c>
      <c r="B112" s="45">
        <v>20</v>
      </c>
      <c r="C112" s="4" t="s">
        <v>67</v>
      </c>
    </row>
    <row r="113" spans="1:15" ht="15" thickBot="1" x14ac:dyDescent="0.35">
      <c r="A113" s="38" t="s">
        <v>68</v>
      </c>
      <c r="B113" s="45">
        <v>0</v>
      </c>
      <c r="C113" s="4" t="s">
        <v>69</v>
      </c>
    </row>
    <row r="114" spans="1:15" ht="15" thickBot="1" x14ac:dyDescent="0.35">
      <c r="A114" s="42" t="s">
        <v>70</v>
      </c>
      <c r="B114" s="45">
        <v>8472</v>
      </c>
      <c r="C114" s="4" t="s">
        <v>71</v>
      </c>
      <c r="D114" s="6" t="s">
        <v>72</v>
      </c>
    </row>
    <row r="115" spans="1:15" x14ac:dyDescent="0.3">
      <c r="A115" s="42" t="s">
        <v>73</v>
      </c>
      <c r="B115" s="47">
        <f>B39</f>
        <v>3000000</v>
      </c>
      <c r="C115" s="4" t="s">
        <v>74</v>
      </c>
      <c r="D115" s="6" t="s">
        <v>56</v>
      </c>
      <c r="I115" s="45">
        <f>3*(10^6)</f>
        <v>3000000</v>
      </c>
      <c r="J115" t="s">
        <v>149</v>
      </c>
    </row>
    <row r="116" spans="1:15" ht="15" thickBot="1" x14ac:dyDescent="0.35">
      <c r="B116" s="47"/>
    </row>
    <row r="117" spans="1:15" ht="16.2" thickBot="1" x14ac:dyDescent="0.4">
      <c r="A117" s="52" t="s">
        <v>124</v>
      </c>
      <c r="B117" s="46">
        <f>78.67/1000</f>
        <v>7.8670000000000004E-2</v>
      </c>
      <c r="C117" s="4" t="s">
        <v>48</v>
      </c>
      <c r="D117" s="6" t="s">
        <v>125</v>
      </c>
      <c r="J117" s="6"/>
    </row>
    <row r="118" spans="1:15" ht="16.2" thickBot="1" x14ac:dyDescent="0.35">
      <c r="A118" s="53" t="s">
        <v>133</v>
      </c>
      <c r="B118" s="46">
        <v>0.24399999999999999</v>
      </c>
      <c r="C118" s="4" t="s">
        <v>123</v>
      </c>
      <c r="D118" s="6" t="s">
        <v>126</v>
      </c>
      <c r="I118" t="s">
        <v>127</v>
      </c>
      <c r="J118" s="6" t="s">
        <v>128</v>
      </c>
      <c r="N118" t="s">
        <v>129</v>
      </c>
      <c r="O118" s="6" t="s">
        <v>130</v>
      </c>
    </row>
    <row r="119" spans="1:15" ht="16.2" thickBot="1" x14ac:dyDescent="0.4">
      <c r="A119" s="54" t="s">
        <v>132</v>
      </c>
      <c r="B119" s="46">
        <f>B108*B114*B117*B118</f>
        <v>2116064.8745587198</v>
      </c>
      <c r="C119" s="4" t="s">
        <v>38</v>
      </c>
    </row>
    <row r="120" spans="1:15" ht="16.2" thickBot="1" x14ac:dyDescent="0.4">
      <c r="A120" s="54" t="s">
        <v>134</v>
      </c>
      <c r="B120" s="46">
        <f>B108*B114*B118/1000</f>
        <v>26897.990016</v>
      </c>
      <c r="C120" s="4" t="s">
        <v>131</v>
      </c>
    </row>
    <row r="121" spans="1:15" ht="15" thickBot="1" x14ac:dyDescent="0.35">
      <c r="B121" s="47"/>
    </row>
    <row r="122" spans="1:15" ht="15" thickBot="1" x14ac:dyDescent="0.35">
      <c r="A122" s="43" t="s">
        <v>75</v>
      </c>
      <c r="B122" s="46">
        <v>0</v>
      </c>
      <c r="C122" s="4" t="s">
        <v>38</v>
      </c>
    </row>
    <row r="123" spans="1:15" ht="15" thickBot="1" x14ac:dyDescent="0.35">
      <c r="A123" s="43" t="s">
        <v>76</v>
      </c>
      <c r="B123" s="45">
        <f>$G$72</f>
        <v>2597807.6178260869</v>
      </c>
      <c r="C123" s="4" t="s">
        <v>38</v>
      </c>
    </row>
    <row r="124" spans="1:15" ht="15" thickBot="1" x14ac:dyDescent="0.35">
      <c r="A124" s="43" t="s">
        <v>77</v>
      </c>
      <c r="B124" s="47">
        <f>9.945*10^5+B111</f>
        <v>1132500</v>
      </c>
      <c r="C124" s="4" t="s">
        <v>38</v>
      </c>
    </row>
    <row r="125" spans="1:15" ht="15" thickBot="1" x14ac:dyDescent="0.35">
      <c r="A125" s="43" t="s">
        <v>78</v>
      </c>
      <c r="B125" s="45">
        <f>B123+B122</f>
        <v>2597807.6178260869</v>
      </c>
      <c r="C125" s="4" t="s">
        <v>38</v>
      </c>
    </row>
    <row r="126" spans="1:15" ht="15" thickBot="1" x14ac:dyDescent="0.35">
      <c r="A126" s="43" t="s">
        <v>79</v>
      </c>
      <c r="B126" s="56">
        <f>B111+B107</f>
        <v>730961</v>
      </c>
      <c r="C126" s="4" t="s">
        <v>38</v>
      </c>
    </row>
    <row r="127" spans="1:15" x14ac:dyDescent="0.3">
      <c r="A127" s="44" t="s">
        <v>80</v>
      </c>
      <c r="B127" s="45">
        <f>B124+B125</f>
        <v>3730307.6178260869</v>
      </c>
      <c r="C127" s="4" t="s">
        <v>38</v>
      </c>
    </row>
    <row r="128" spans="1:15" ht="15" thickBot="1" x14ac:dyDescent="0.35">
      <c r="B128" s="47"/>
    </row>
    <row r="129" spans="1:13" ht="15" thickBot="1" x14ac:dyDescent="0.35">
      <c r="A129" s="51" t="s">
        <v>81</v>
      </c>
      <c r="B129" s="45">
        <f>234*(10^8)</f>
        <v>23400000000</v>
      </c>
      <c r="C129" s="4" t="s">
        <v>82</v>
      </c>
      <c r="D129" s="6" t="s">
        <v>83</v>
      </c>
    </row>
    <row r="130" spans="1:13" ht="15" thickBot="1" x14ac:dyDescent="0.35">
      <c r="A130" s="51" t="s">
        <v>84</v>
      </c>
      <c r="B130" s="45">
        <f>28753000000</f>
        <v>28753000000</v>
      </c>
      <c r="C130" s="4" t="s">
        <v>69</v>
      </c>
      <c r="D130" s="6" t="s">
        <v>83</v>
      </c>
      <c r="M130" s="47"/>
    </row>
    <row r="131" spans="1:13" ht="15" thickBot="1" x14ac:dyDescent="0.35">
      <c r="A131" s="51" t="s">
        <v>85</v>
      </c>
      <c r="B131" s="45">
        <f>B130/B129</f>
        <v>1.2287606837606837</v>
      </c>
      <c r="C131" s="4" t="s">
        <v>86</v>
      </c>
    </row>
    <row r="132" spans="1:13" ht="15" thickBot="1" x14ac:dyDescent="0.35">
      <c r="A132" s="51" t="s">
        <v>87</v>
      </c>
      <c r="B132" s="45">
        <f>B115*B134</f>
        <v>2340000</v>
      </c>
      <c r="C132" s="4" t="s">
        <v>82</v>
      </c>
      <c r="D132" s="6" t="s">
        <v>88</v>
      </c>
    </row>
    <row r="133" spans="1:13" ht="15" thickBot="1" x14ac:dyDescent="0.35">
      <c r="A133" s="51" t="s">
        <v>89</v>
      </c>
      <c r="B133" s="45">
        <f>B132*B131</f>
        <v>2875300</v>
      </c>
      <c r="C133" s="4" t="s">
        <v>69</v>
      </c>
    </row>
    <row r="134" spans="1:13" x14ac:dyDescent="0.3">
      <c r="A134" s="51" t="s">
        <v>90</v>
      </c>
      <c r="B134" s="45">
        <v>0.78</v>
      </c>
      <c r="C134" s="4"/>
      <c r="D134" s="6" t="s">
        <v>91</v>
      </c>
    </row>
    <row r="135" spans="1:13" x14ac:dyDescent="0.3">
      <c r="B135" s="47"/>
    </row>
    <row r="136" spans="1:13" x14ac:dyDescent="0.3">
      <c r="A136" s="39" t="s">
        <v>92</v>
      </c>
      <c r="B136" s="48">
        <v>0.25800000000000001</v>
      </c>
      <c r="C136" s="39"/>
      <c r="D136" s="6" t="s">
        <v>93</v>
      </c>
    </row>
    <row r="137" spans="1:13" x14ac:dyDescent="0.3">
      <c r="A137" s="39" t="s">
        <v>94</v>
      </c>
      <c r="B137" s="48">
        <v>0.19</v>
      </c>
      <c r="C137" s="39"/>
      <c r="D137" s="6" t="s">
        <v>93</v>
      </c>
    </row>
    <row r="138" spans="1:13" x14ac:dyDescent="0.3">
      <c r="A138" s="39" t="s">
        <v>95</v>
      </c>
      <c r="B138" s="48"/>
      <c r="C138" s="39" t="s">
        <v>96</v>
      </c>
    </row>
    <row r="139" spans="1:13" x14ac:dyDescent="0.3">
      <c r="A139" s="39" t="s">
        <v>97</v>
      </c>
      <c r="B139" s="40">
        <f>B85+B86*B87</f>
        <v>6.7604589371980786E-2</v>
      </c>
      <c r="C139" s="39">
        <v>6.7599999999999993E-2</v>
      </c>
    </row>
    <row r="140" spans="1:13" x14ac:dyDescent="0.3">
      <c r="I140" s="41" t="s">
        <v>4</v>
      </c>
    </row>
    <row r="141" spans="1:13" x14ac:dyDescent="0.3">
      <c r="A141" s="25" t="s">
        <v>98</v>
      </c>
      <c r="B141" s="25"/>
      <c r="C141" s="49" t="s">
        <v>99</v>
      </c>
      <c r="D141" s="50"/>
      <c r="E141" s="35" t="s">
        <v>100</v>
      </c>
      <c r="F141" s="22" t="s">
        <v>101</v>
      </c>
      <c r="G141" s="22" t="s">
        <v>102</v>
      </c>
      <c r="H141" s="22"/>
      <c r="I141" s="6" t="s">
        <v>103</v>
      </c>
    </row>
    <row r="142" spans="1:13" x14ac:dyDescent="0.3">
      <c r="A142" s="17" t="s">
        <v>104</v>
      </c>
      <c r="B142" s="17">
        <v>1</v>
      </c>
      <c r="C142" s="36" t="s">
        <v>105</v>
      </c>
      <c r="D142" s="37" t="s">
        <v>106</v>
      </c>
      <c r="E142" s="34"/>
      <c r="F142" s="24" t="s">
        <v>107</v>
      </c>
      <c r="G142" s="24" t="s">
        <v>108</v>
      </c>
      <c r="H142" s="22" t="s">
        <v>109</v>
      </c>
    </row>
    <row r="143" spans="1:13" x14ac:dyDescent="0.3">
      <c r="A143" s="17" t="s">
        <v>110</v>
      </c>
      <c r="B143" s="18">
        <f xml:space="preserve"> B142 * 1.004974775</f>
        <v>1.004974775</v>
      </c>
      <c r="C143" s="27" t="s">
        <v>111</v>
      </c>
      <c r="D143" s="32">
        <f xml:space="preserve"> 0.95</f>
        <v>0.95</v>
      </c>
      <c r="E143" s="26">
        <f>(B100 /1000)</f>
        <v>1.4499999999999999E-3</v>
      </c>
      <c r="F143" s="15">
        <f>$B$70 *D143</f>
        <v>2223000</v>
      </c>
      <c r="G143" s="15">
        <f>F143* (E143)</f>
        <v>3223.35</v>
      </c>
      <c r="H143" s="14" t="s">
        <v>112</v>
      </c>
    </row>
    <row r="144" spans="1:13" x14ac:dyDescent="0.3">
      <c r="A144" s="20"/>
      <c r="B144" s="20"/>
      <c r="C144" s="27" t="s">
        <v>113</v>
      </c>
      <c r="D144" s="32">
        <v>0.2</v>
      </c>
      <c r="E144" s="28">
        <f>B104</f>
        <v>2.08</v>
      </c>
      <c r="F144" s="15">
        <f>$B$70 *D144</f>
        <v>468000</v>
      </c>
      <c r="G144" s="14">
        <f>F144*E144</f>
        <v>973440</v>
      </c>
      <c r="H144" s="14" t="s">
        <v>112</v>
      </c>
    </row>
    <row r="145" spans="1:8" x14ac:dyDescent="0.3">
      <c r="A145" s="25" t="s">
        <v>114</v>
      </c>
      <c r="B145" s="25"/>
      <c r="C145" s="27" t="s">
        <v>115</v>
      </c>
      <c r="D145" s="32">
        <v>2E-3</v>
      </c>
      <c r="E145" s="28">
        <f>(B105)</f>
        <v>36.344000000000001</v>
      </c>
      <c r="F145" s="15">
        <f>$B$70 *D145</f>
        <v>4680</v>
      </c>
      <c r="G145" s="14">
        <f>F145*E145</f>
        <v>170089.92</v>
      </c>
      <c r="H145" s="14" t="s">
        <v>112</v>
      </c>
    </row>
    <row r="146" spans="1:8" x14ac:dyDescent="0.3">
      <c r="A146" s="17" t="s">
        <v>116</v>
      </c>
      <c r="B146" s="19">
        <f>B132</f>
        <v>2340000</v>
      </c>
      <c r="C146" s="27" t="s">
        <v>117</v>
      </c>
      <c r="D146" s="32">
        <v>5.0000000000000001E-4</v>
      </c>
      <c r="E146" s="29">
        <f>(B106 * (1000/11.5))</f>
        <v>560.86956521739137</v>
      </c>
      <c r="F146" s="15">
        <f>($B$70 *D146) /4</f>
        <v>292.5</v>
      </c>
      <c r="G146" s="15">
        <f>(F146* E146)</f>
        <v>164054.34782608697</v>
      </c>
      <c r="H146" s="14" t="s">
        <v>112</v>
      </c>
    </row>
    <row r="147" spans="1:8" x14ac:dyDescent="0.3">
      <c r="A147" s="17" t="s">
        <v>118</v>
      </c>
      <c r="B147" s="18">
        <f xml:space="preserve"> B146 * B143</f>
        <v>2351640.9734999998</v>
      </c>
      <c r="C147" s="30" t="s">
        <v>119</v>
      </c>
      <c r="D147" s="33">
        <v>0.55000000000000004</v>
      </c>
      <c r="E147" s="31" t="s">
        <v>120</v>
      </c>
      <c r="F147" s="16" t="s">
        <v>120</v>
      </c>
      <c r="G147" s="14">
        <f>D147*B146</f>
        <v>1287000</v>
      </c>
      <c r="H147" s="14" t="s">
        <v>112</v>
      </c>
    </row>
    <row r="148" spans="1:8" x14ac:dyDescent="0.3">
      <c r="A148" s="21"/>
      <c r="B148" s="21"/>
      <c r="C148" s="21"/>
      <c r="F148" s="22" t="s">
        <v>121</v>
      </c>
      <c r="G148" s="23">
        <f>SUM(G143:G147)</f>
        <v>2597807.6178260869</v>
      </c>
      <c r="H148" s="24" t="s">
        <v>112</v>
      </c>
    </row>
    <row r="149" spans="1:8" x14ac:dyDescent="0.3">
      <c r="F149" t="s">
        <v>122</v>
      </c>
      <c r="G149" s="3">
        <f>SUM(G143:G146)</f>
        <v>1310807.6178260869</v>
      </c>
    </row>
    <row r="151" spans="1:8" s="57" customFormat="1" x14ac:dyDescent="0.3"/>
    <row r="154" spans="1:8" x14ac:dyDescent="0.3">
      <c r="A154" t="s">
        <v>154</v>
      </c>
      <c r="B154" s="13">
        <f>J89-J13</f>
        <v>1975090.5776556646</v>
      </c>
    </row>
  </sheetData>
  <mergeCells count="2">
    <mergeCell ref="G4:H13"/>
    <mergeCell ref="A8:E9"/>
  </mergeCells>
  <hyperlinks>
    <hyperlink ref="C10" r:id="rId1" xr:uid="{5D57B7B5-59E5-48AB-84C8-21129958ADF5}"/>
    <hyperlink ref="D24" r:id="rId2" xr:uid="{6B3C72EE-4C1A-43DC-8292-27BC3C56765A}"/>
    <hyperlink ref="D25" r:id="rId3" xr:uid="{BFF49BD4-6713-46DB-B9E1-120503EF516B}"/>
    <hyperlink ref="D26" r:id="rId4" xr:uid="{7994A575-DB80-4275-893E-581F999598EE}"/>
    <hyperlink ref="D27" r:id="rId5" xr:uid="{EFAF76EB-61D1-448E-94F1-376798155FEC}"/>
    <hyperlink ref="D15" r:id="rId6" location="FixedSupplyRateFixedAndVariable_2" xr:uid="{49CEF537-64AD-472B-8DB2-D957B4B45871}"/>
    <hyperlink ref="D60" r:id="rId7" xr:uid="{BD561BAF-08FD-4AB8-BC8E-9192D61A365F}"/>
    <hyperlink ref="D61" r:id="rId8" xr:uid="{E66B6EC3-0180-4ACB-9C41-20C153F241F0}"/>
    <hyperlink ref="D29" r:id="rId9" xr:uid="{8A938F55-A592-4F93-93C2-5EC0F55993F5}"/>
    <hyperlink ref="D30" r:id="rId10" xr:uid="{45BB4EBA-B5A8-4507-B278-6182970B9231}"/>
    <hyperlink ref="C11" r:id="rId11" xr:uid="{4A0ED28E-2397-4ACA-A3F8-18447ED00AC4}"/>
    <hyperlink ref="C13" r:id="rId12" xr:uid="{E36B3E3C-4603-40E2-B8C1-52A4F81CF5FC}"/>
    <hyperlink ref="D28" r:id="rId13" xr:uid="{1B6B2072-4C7A-4D14-A7F7-F90401548525}"/>
    <hyperlink ref="D16:D23" r:id="rId14" location="FixedSupplyRateFixedAndVariable_2" display="https://www.cbs.nl/en-gb/figures/detail/85592ENG#FixedSupplyRateFixedAndVariable_2" xr:uid="{9C3878FE-B2CA-4359-985B-DC8E0C084244}"/>
    <hyperlink ref="D35" r:id="rId15" xr:uid="{637A81F9-948B-4444-BFBE-98A67C3C5B95}"/>
    <hyperlink ref="D38" r:id="rId16" display="https://www.scribd.com/document/260641162/Wolfgang-Kunze-Technology-Brewing-and-Malting" xr:uid="{56C2CE80-F79B-4927-B621-B7D2C2A114F2}"/>
    <hyperlink ref="C14" r:id="rId17" xr:uid="{50BBDB86-DA3D-470E-B613-DD25EB1B779D}"/>
    <hyperlink ref="D58" r:id="rId18" xr:uid="{A5595B67-9D66-4763-8936-F145322EA52E}"/>
    <hyperlink ref="D53" r:id="rId19" xr:uid="{4A3273FF-4945-49E9-BDAA-6934CD0FC10B}"/>
    <hyperlink ref="D54" r:id="rId20" xr:uid="{DDB66652-F01D-42A6-949B-AAA169A7777F}"/>
    <hyperlink ref="D39" r:id="rId21" xr:uid="{181F5B15-2927-48FC-BB20-071CCD9948D7}"/>
    <hyperlink ref="D31" r:id="rId22" xr:uid="{44ACC805-28B5-4128-A42B-A80BB817E66B}"/>
    <hyperlink ref="D56" r:id="rId23" xr:uid="{8B5B9AB2-CDF9-4F50-9F7B-EBE7130157B5}"/>
    <hyperlink ref="D33" r:id="rId24" xr:uid="{B3C61382-5541-40B7-8149-2F6678DF89B2}"/>
    <hyperlink ref="D32" r:id="rId25" xr:uid="{C9C3504C-01DA-49C8-B5D3-3768B2BD6F5E}"/>
    <hyperlink ref="I65" r:id="rId26" xr:uid="{3E14EC43-4089-48CB-A415-875B349805E6}"/>
    <hyperlink ref="D34" r:id="rId27" xr:uid="{6BF7EC19-9FB8-4549-A31B-CF2F430AD3D5}"/>
    <hyperlink ref="D41" r:id="rId28" xr:uid="{EE1F86E1-D11D-46F7-8039-0633CC5FE76F}"/>
    <hyperlink ref="D42" r:id="rId29" xr:uid="{3DEE45D9-59AF-4662-9DAA-EAA1E4088FC1}"/>
    <hyperlink ref="J42" r:id="rId30" xr:uid="{48FED882-67C1-40A9-84EA-0D4F7A9D0E56}"/>
    <hyperlink ref="O42" r:id="rId31" xr:uid="{8C635836-A130-4F6C-AA88-8BADA6883D79}"/>
    <hyperlink ref="C83" r:id="rId32" xr:uid="{0D44D527-FE05-43B5-9E7A-0B0194CDB92D}"/>
    <hyperlink ref="D100" r:id="rId33" xr:uid="{345EC099-D801-4923-B451-C31C49ED81F5}"/>
    <hyperlink ref="D101" r:id="rId34" xr:uid="{395B2E38-7B79-40B7-AEC8-84CE1A5A4780}"/>
    <hyperlink ref="D102" r:id="rId35" xr:uid="{CDD7293D-F599-4F1B-A663-3D94357EF6C2}"/>
    <hyperlink ref="D103" r:id="rId36" xr:uid="{4DFF1402-EB44-47EA-9258-194BB1C380C3}"/>
    <hyperlink ref="D91" r:id="rId37" location="FixedSupplyRateFixedAndVariable_2" xr:uid="{24B187C2-CC25-41E6-A3BA-91DC433D443B}"/>
    <hyperlink ref="D136" r:id="rId38" xr:uid="{996BA980-2F60-4439-B830-61B8F9206B4F}"/>
    <hyperlink ref="D137" r:id="rId39" xr:uid="{07F8B969-754B-421E-87BB-911189B54019}"/>
    <hyperlink ref="D105" r:id="rId40" xr:uid="{4C29778B-915B-45B1-B305-EFE25DAB5AD2}"/>
    <hyperlink ref="D106" r:id="rId41" xr:uid="{0E2D6360-DA65-4451-818B-DE46FB76E78C}"/>
    <hyperlink ref="C84" r:id="rId42" xr:uid="{8770D61B-E9A5-498C-9CDE-5FB25D339DE2}"/>
    <hyperlink ref="C86" r:id="rId43" xr:uid="{3F0A4E8D-C944-4A3F-8625-FE21D7273896}"/>
    <hyperlink ref="D104" r:id="rId44" xr:uid="{D3071C5E-6213-4D39-970B-ED638B98EC8E}"/>
    <hyperlink ref="D92:D99" r:id="rId45" location="FixedSupplyRateFixedAndVariable_2" display="https://www.cbs.nl/en-gb/figures/detail/85592ENG#FixedSupplyRateFixedAndVariable_2" xr:uid="{39134ED0-FCA0-4CAD-B080-B949EC6B654F}"/>
    <hyperlink ref="D111" r:id="rId46" xr:uid="{71FCC0E6-73B6-47BC-916C-86DDE54324CF}"/>
    <hyperlink ref="D114" r:id="rId47" display="https://www.scribd.com/document/260641162/Wolfgang-Kunze-Technology-Brewing-and-Malting" xr:uid="{A7FA46EB-23F8-4C4C-B901-E3E35A101148}"/>
    <hyperlink ref="C87" r:id="rId48" xr:uid="{BE3C4B3E-F452-4249-9DAF-00221379B6DB}"/>
    <hyperlink ref="D134" r:id="rId49" xr:uid="{17EF6938-CE5E-4FE6-905C-F1CCA42D362B}"/>
    <hyperlink ref="D129" r:id="rId50" xr:uid="{97BB1792-D166-4A7B-A908-1A5D5FBB6369}"/>
    <hyperlink ref="D130" r:id="rId51" xr:uid="{9249E92A-31D0-4090-A88D-A790AD79A117}"/>
    <hyperlink ref="D115" r:id="rId52" xr:uid="{440813C2-AD42-4511-998B-E8415BAA3A2B}"/>
    <hyperlink ref="D107" r:id="rId53" xr:uid="{6036EB0D-59A3-4F82-80FC-85BEA24964C5}"/>
    <hyperlink ref="D132" r:id="rId54" xr:uid="{B2EF7383-0D02-42A7-9A7F-9E0B034B94C9}"/>
    <hyperlink ref="D109" r:id="rId55" xr:uid="{44EA0B01-C270-4C26-9947-79793E15EB41}"/>
    <hyperlink ref="D108" r:id="rId56" xr:uid="{A6CFEE10-0EE2-4CB9-8EFD-97CEA467864B}"/>
    <hyperlink ref="I141" r:id="rId57" xr:uid="{1B9898EC-4F03-422F-ABC9-F5EB4F312375}"/>
    <hyperlink ref="D110" r:id="rId58" xr:uid="{D25411AF-0EBB-44E7-8F8E-E0ECFBB383F9}"/>
    <hyperlink ref="D117" r:id="rId59" xr:uid="{BD218E58-F3DB-40B9-9BA1-1F0353E120B7}"/>
    <hyperlink ref="D118" r:id="rId60" xr:uid="{8758CE81-94C6-418C-AFD9-363AC595AE60}"/>
    <hyperlink ref="J118" r:id="rId61" xr:uid="{C9326381-9155-4D00-ACCD-F0BA377498CA}"/>
    <hyperlink ref="O118" r:id="rId62" xr:uid="{E98275F5-E960-48A3-BF0C-9682BA3A20F7}"/>
  </hyperlinks>
  <pageMargins left="0.7" right="0.7" top="0.75" bottom="0.75" header="0.3" footer="0.3"/>
  <legacyDrawing r:id="rId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model for the brewery </vt:lpstr>
      <vt:lpstr>Base case + optimized case</vt:lpstr>
      <vt:lpstr>Few Liter beer per 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 den Haan</dc:creator>
  <cp:keywords/>
  <dc:description/>
  <cp:lastModifiedBy>Jeanneau Ham</cp:lastModifiedBy>
  <cp:revision/>
  <dcterms:created xsi:type="dcterms:W3CDTF">2026-06-09T12:58:18Z</dcterms:created>
  <dcterms:modified xsi:type="dcterms:W3CDTF">2026-06-25T11:46:04Z</dcterms:modified>
  <cp:category/>
  <cp:contentStatus/>
</cp:coreProperties>
</file>